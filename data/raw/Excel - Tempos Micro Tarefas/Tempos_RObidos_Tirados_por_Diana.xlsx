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asaisinvest-my.sharepoint.com/personal/cesar_barroso_blufab_pt/Documents/Ambiente de Trabalho/"/>
    </mc:Choice>
  </mc:AlternateContent>
  <xr:revisionPtr revIDLastSave="7360" documentId="8_{809129AE-8B26-46DA-ADD0-EA52C129C87F}" xr6:coauthVersionLast="47" xr6:coauthVersionMax="47" xr10:uidLastSave="{ADED67E0-A160-4818-9656-7E7D303B1493}"/>
  <bookViews>
    <workbookView xWindow="-108" yWindow="-108" windowWidth="23256" windowHeight="13896" xr2:uid="{00000000-000D-0000-FFFF-FFFF00000000}"/>
  </bookViews>
  <sheets>
    <sheet name="Recolha_Tempos_Estr+Placar ROB." sheetId="14" r:id="rId1"/>
  </sheets>
  <definedNames>
    <definedName name="_xlnm._FilterDatabase" localSheetId="0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14" l="1"/>
  <c r="H110" i="14"/>
  <c r="H95" i="14"/>
  <c r="H57" i="14"/>
  <c r="H2" i="14"/>
  <c r="H41" i="14"/>
  <c r="H25" i="14"/>
  <c r="H8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Diana Maria Rodrigues Coelho</author>
  </authors>
  <commentList>
    <comment ref="G14" authorId="0" shapeId="0" xr:uid="{0FF32841-ACB6-4F4B-9648-45BF6B53BE69}">
      <text>
        <r>
          <rPr>
            <sz val="11"/>
            <color theme="1"/>
            <rFont val="Calibri"/>
            <family val="2"/>
            <scheme val="minor"/>
          </rPr>
          <t xml:space="preserve"> + corrigir parafusos mal apertados -&gt; 00:00:51
 + Recarregar parafusos (acessório de alimentação automático) -&gt; 00:00:30</t>
        </r>
      </text>
    </comment>
    <comment ref="G22" authorId="0" shapeId="0" xr:uid="{83A227E5-B2FC-4D90-82EF-F67BB3654BB5}">
      <text>
        <r>
          <rPr>
            <sz val="11"/>
            <color theme="1"/>
            <rFont val="Calibri"/>
            <family val="2"/>
            <scheme val="minor"/>
          </rPr>
          <t xml:space="preserve"> + Aparafusar as placas para lixar e aparafusar melhor na lateral -&gt; 00:01:00
 + Lixar as placas para encaixar melhor -&gt; 00:01:22
 + Retirar os parafusos pós aparafusar lateral -&gt; 00:01:17</t>
        </r>
      </text>
    </comment>
    <comment ref="G30" authorId="0" shapeId="0" xr:uid="{5F86D474-ABE9-49DC-8941-4D43D52F0109}">
      <text>
        <r>
          <rPr>
            <sz val="11"/>
            <color theme="1"/>
            <rFont val="Calibri"/>
            <family val="2"/>
            <scheme val="minor"/>
          </rPr>
          <t xml:space="preserve"> + Ir buscar placa ao corte de placas -&gt; 00:02:25</t>
        </r>
      </text>
    </comment>
    <comment ref="G35" authorId="0" shapeId="0" xr:uid="{332E9B38-A7C9-4E13-9A14-8D746074C846}">
      <text>
        <r>
          <rPr>
            <sz val="11"/>
            <color theme="1"/>
            <rFont val="Calibri"/>
            <family val="2"/>
            <scheme val="minor"/>
          </rPr>
          <t xml:space="preserve"> + Recarregar parafusos (acessório de alimentação automático) -&gt; 00:00:58</t>
        </r>
      </text>
    </comment>
    <comment ref="G39" authorId="0" shapeId="0" xr:uid="{C21D0002-88F4-4740-BB30-C26F04ED34AB}">
      <text>
        <r>
          <rPr>
            <sz val="11"/>
            <color theme="1"/>
            <rFont val="Calibri"/>
            <family val="2"/>
            <scheme val="minor"/>
          </rPr>
          <t xml:space="preserve"> + Lixar rebarba de fixador -&gt; 00:00:17
+ Medir parede -&gt; 00:00:44</t>
        </r>
      </text>
    </comment>
    <comment ref="G48" authorId="0" shapeId="0" xr:uid="{D6BEA792-98E9-4C15-91E7-9BA3AA22233B}">
      <text>
        <r>
          <rPr>
            <sz val="11"/>
            <color theme="1"/>
            <rFont val="Calibri"/>
            <family val="2"/>
            <scheme val="minor"/>
          </rPr>
          <t xml:space="preserve"> + corrigir parafusos mal apertados -&gt; 00:01:11</t>
        </r>
      </text>
    </comment>
    <comment ref="G54" authorId="0" shapeId="0" xr:uid="{184C1D1C-B14D-4707-AE1F-749439FD5040}">
      <text>
        <r>
          <rPr>
            <sz val="11"/>
            <color theme="1"/>
            <rFont val="Calibri"/>
            <family val="2"/>
            <scheme val="minor"/>
          </rPr>
          <t xml:space="preserve"> + Lixar rebarba de fixador -&gt; 00:00:18</t>
        </r>
      </text>
    </comment>
    <comment ref="G69" authorId="0" shapeId="0" xr:uid="{0A0D97AA-A735-4981-815E-FCE1D8303041}">
      <text>
        <r>
          <rPr>
            <sz val="11"/>
            <color theme="1"/>
            <rFont val="Calibri"/>
            <family val="2"/>
            <scheme val="minor"/>
          </rPr>
          <t xml:space="preserve"> + corrigir parafusos mal apertados -&gt; 00:00:59
 + Recarregar parafusos (acessório de alimentação automático) -&gt; 00:00:25</t>
        </r>
      </text>
    </comment>
    <comment ref="G87" authorId="0" shapeId="0" xr:uid="{C1317325-19F8-4080-9DC4-4B095CA1AA7C}">
      <text>
        <r>
          <rPr>
            <sz val="11"/>
            <color theme="1"/>
            <rFont val="Calibri"/>
            <family val="2"/>
            <scheme val="minor"/>
          </rPr>
          <t xml:space="preserve"> + Recarregar parafusos (acessório de alimentação automático) -&gt; 00:00:14</t>
        </r>
      </text>
    </comment>
    <comment ref="G93" authorId="0" shapeId="0" xr:uid="{20C8DBDA-E2AF-4546-B493-CE15C2710E77}">
      <text>
        <r>
          <rPr>
            <sz val="11"/>
            <color theme="1"/>
            <rFont val="Calibri"/>
            <family val="2"/>
            <scheme val="minor"/>
          </rPr>
          <t xml:space="preserve"> + Lixar excesso de pladur  -&gt; 00:00:09</t>
        </r>
      </text>
    </comment>
    <comment ref="G114" authorId="0" shapeId="0" xr:uid="{5787ADC0-EB0C-4CEE-A4A6-A18D89C33B85}">
      <text>
        <r>
          <rPr>
            <sz val="11"/>
            <color theme="1"/>
            <rFont val="Calibri"/>
            <family val="2"/>
            <scheme val="minor"/>
          </rPr>
          <t>+ Medir e  retificar parede -&gt; 00:03:27</t>
        </r>
      </text>
    </comment>
    <comment ref="G116" authorId="0" shapeId="0" xr:uid="{26B9623B-2B7B-4D67-A73D-10D9E84916C4}">
      <text>
        <r>
          <rPr>
            <sz val="11"/>
            <color theme="1"/>
            <rFont val="Calibri"/>
            <family val="2"/>
            <scheme val="minor"/>
          </rPr>
          <t xml:space="preserve"> + Recarregar parafusos (acessório de alimentação automático) -&gt; 00:00:37</t>
        </r>
      </text>
    </comment>
    <comment ref="G120" authorId="0" shapeId="0" xr:uid="{13E0BE6B-5E71-446C-A67D-B4C833F02A35}">
      <text>
        <r>
          <rPr>
            <sz val="11"/>
            <color theme="1"/>
            <rFont val="Calibri"/>
            <family val="2"/>
            <scheme val="minor"/>
          </rPr>
          <t xml:space="preserve"> + Rebarbar -&gt; 00:00:18</t>
        </r>
      </text>
    </comment>
    <comment ref="G127" authorId="0" shapeId="0" xr:uid="{E6883C91-E084-4182-AEB0-DAF33357E2BE}">
      <text>
        <r>
          <rPr>
            <sz val="11"/>
            <color theme="1"/>
            <rFont val="Calibri"/>
            <family val="2"/>
            <scheme val="minor"/>
          </rPr>
          <t xml:space="preserve"> + Medir parede -&gt; 00:00:30</t>
        </r>
      </text>
    </comment>
    <comment ref="G130" authorId="0" shapeId="0" xr:uid="{7A6606DD-A350-43BC-81F2-2E223FB6DAF6}">
      <text>
        <r>
          <rPr>
            <sz val="11"/>
            <color theme="1"/>
            <rFont val="Calibri"/>
            <family val="2"/>
            <scheme val="minor"/>
          </rPr>
          <t xml:space="preserve"> + Recarregar parafusos (acessório de alimentação automático) -&gt; 00:00:18
 + corrigir parafusos mal apertados -&gt; 00:00:38</t>
        </r>
      </text>
    </comment>
    <comment ref="G133" authorId="0" shapeId="0" xr:uid="{91A33D52-1A6E-45A3-94F6-29793B198783}">
      <text>
        <r>
          <rPr>
            <sz val="11"/>
            <color theme="1"/>
            <rFont val="Calibri"/>
            <family val="2"/>
            <scheme val="minor"/>
          </rPr>
          <t xml:space="preserve"> + Lixar rebarba de fixador -&gt; 00:00:18</t>
        </r>
      </text>
    </comment>
  </commentList>
</comments>
</file>

<file path=xl/sharedStrings.xml><?xml version="1.0" encoding="utf-8"?>
<sst xmlns="http://schemas.openxmlformats.org/spreadsheetml/2006/main" count="546" uniqueCount="72">
  <si>
    <t>MacroTarefa</t>
  </si>
  <si>
    <t>Data</t>
  </si>
  <si>
    <t>Hora</t>
  </si>
  <si>
    <t>Parede</t>
  </si>
  <si>
    <t>Tipologia</t>
  </si>
  <si>
    <t>MicroTarefa</t>
  </si>
  <si>
    <t>Tempo</t>
  </si>
  <si>
    <t>Tempo Médio/Parede</t>
  </si>
  <si>
    <t>Nº FTEs Atual Alocados</t>
  </si>
  <si>
    <t>Operador</t>
  </si>
  <si>
    <t>Estruturar e Placar</t>
  </si>
  <si>
    <t>PCL02</t>
  </si>
  <si>
    <t>1. Pegar nos perfis estrutura ext. ecessários (do carrinho para a mesa de montagem)</t>
  </si>
  <si>
    <t>Nelson + Carlos</t>
  </si>
  <si>
    <t>2. Colocar os perfis da estrutura externa nas posições de montagem</t>
  </si>
  <si>
    <t>3. Fixar a estrutura, recorrendo a fixadores</t>
  </si>
  <si>
    <t xml:space="preserve">4. Realizar as medições, ajustes e alinhamentos prévios </t>
  </si>
  <si>
    <t>5. Realizar a cravação da estrutura externa de perfis (clinching)</t>
  </si>
  <si>
    <t>Nelson</t>
  </si>
  <si>
    <t>6. Pegar nos perfis estrutura int. necessários (do carrinho para a mesa de montagem)</t>
  </si>
  <si>
    <t>7. Colocar os perfis da estrutura interna nas posições de montagem</t>
  </si>
  <si>
    <t xml:space="preserve">8. Realizar as medições, ajustes e alinhamentos prévios </t>
  </si>
  <si>
    <t>9. Aparafusar estrutura interna à estrutura externa</t>
  </si>
  <si>
    <t>10. Realizar a cravação da estrutura interna de perfis (clinching)</t>
  </si>
  <si>
    <t xml:space="preserve">Nelson </t>
  </si>
  <si>
    <t>11. Pegar e colocar a placa na estrutura montada</t>
  </si>
  <si>
    <t>12. Realizar as medições e ajustes necesssários na placa</t>
  </si>
  <si>
    <t>13. Aparafusar a placa à estrutura</t>
  </si>
  <si>
    <t>14. Remover os fixadores da estrutura</t>
  </si>
  <si>
    <t>15. Virar a estrutura</t>
  </si>
  <si>
    <t>16. Realizar a cravação da estrutura (clinching)</t>
  </si>
  <si>
    <t>17. Furos guia para posteriormente serrar</t>
  </si>
  <si>
    <t>Carlos</t>
  </si>
  <si>
    <t>18. Virar a estrutura</t>
  </si>
  <si>
    <t>19. Marcar com Fio blue</t>
  </si>
  <si>
    <t>20. Furar com serra</t>
  </si>
  <si>
    <t>21. Aparafusar placas laterais do furo</t>
  </si>
  <si>
    <t>22. Imprimir e colar etiqueta de identificação</t>
  </si>
  <si>
    <t>23. Colocar o produto na palete de madeira</t>
  </si>
  <si>
    <t>PCT01</t>
  </si>
  <si>
    <t>1. Pegar nos perfis necessários (do carrinho para a mesa de montagem)</t>
  </si>
  <si>
    <t>Hugo + Yago</t>
  </si>
  <si>
    <t>2. Colocar os perfis nas posições de montagem</t>
  </si>
  <si>
    <t>Hugo</t>
  </si>
  <si>
    <t>5. Realizar a cravação da estrutura de perfis (clinching)</t>
  </si>
  <si>
    <t>Yago</t>
  </si>
  <si>
    <t>6. Pegar e colocar a primeira placa na estrutura montada</t>
  </si>
  <si>
    <t>7. Realizar as medições e ajustes necesssários na primeira placa</t>
  </si>
  <si>
    <t>8. Aparafusar a placa à estrutura de perfis</t>
  </si>
  <si>
    <t>9. Pegar e colocar a segunda placa na estrutura montada</t>
  </si>
  <si>
    <t>10. Realizar as medições e ajustes necessários na segunda placa</t>
  </si>
  <si>
    <t>11. Aparafusar a placa à estrutura</t>
  </si>
  <si>
    <t>12. Remover os fixadores da estrutura</t>
  </si>
  <si>
    <t>13. Virar a estrutura</t>
  </si>
  <si>
    <t>14. Realizar a cravação da estrutura (clinching)</t>
  </si>
  <si>
    <t>15. Imprimir e colar etiqueta de identificação</t>
  </si>
  <si>
    <t>16. Colocar o produto na palete de madeira</t>
  </si>
  <si>
    <t>Hugo + Yago + Gonzaga</t>
  </si>
  <si>
    <t>1. Pegar nos perfis estrutura ext. necessários (do carrinho para a mesa de montagem)</t>
  </si>
  <si>
    <t>PCL03</t>
  </si>
  <si>
    <t>Gonzaga + Carlos</t>
  </si>
  <si>
    <t>Gonzaga</t>
  </si>
  <si>
    <t>9. Remover os fixadores da estrutura</t>
  </si>
  <si>
    <t>10. Virar a estrutura</t>
  </si>
  <si>
    <t>11. Realizar a cravação da estrutura (clinching)</t>
  </si>
  <si>
    <t>12. Realizar medições da caixa</t>
  </si>
  <si>
    <t>13. Aparafusar a caixa à estrutura</t>
  </si>
  <si>
    <t>14. Imprimir e colar etiqueta de identificação</t>
  </si>
  <si>
    <t>15. Colocar o produto na palete de madeira</t>
  </si>
  <si>
    <t>PCK01</t>
  </si>
  <si>
    <t>12. Imprimir e colar etiqueta de identificação</t>
  </si>
  <si>
    <t>13. Colocar o produto na palete de 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</si>
</sst>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42424"/>
      <name val="Aptos Narrow"/>
      <family val="2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16" fontId="0" fillId="0" borderId="6" xfId="0" applyNumberFormat="1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wrapText="1"/>
    </xf>
    <xf numFmtId="21" fontId="0" fillId="0" borderId="1" xfId="0" applyNumberFormat="1" applyBorder="1" applyAlignment="1">
      <alignment horizontal="right" vertical="center" wrapText="1"/>
    </xf>
    <xf numFmtId="0" fontId="0" fillId="0" borderId="2" xfId="0" applyBorder="1" applyAlignment="1">
      <alignment wrapText="1"/>
    </xf>
    <xf numFmtId="21" fontId="0" fillId="0" borderId="2" xfId="0" applyNumberFormat="1" applyBorder="1" applyAlignment="1">
      <alignment horizontal="right" vertical="center" wrapText="1"/>
    </xf>
    <xf numFmtId="21" fontId="0" fillId="0" borderId="4" xfId="0" applyNumberFormat="1" applyBorder="1" applyAlignment="1">
      <alignment horizontal="right" vertical="center" wrapText="1"/>
    </xf>
    <xf numFmtId="21" fontId="0" fillId="0" borderId="8" xfId="0" applyNumberFormat="1" applyBorder="1" applyAlignment="1">
      <alignment horizontal="center" vertical="center" wrapText="1"/>
    </xf>
    <xf numFmtId="21" fontId="0" fillId="0" borderId="9" xfId="0" applyNumberFormat="1" applyBorder="1" applyAlignment="1">
      <alignment horizontal="center" vertical="center" wrapText="1"/>
    </xf>
    <xf numFmtId="21" fontId="0" fillId="0" borderId="10" xfId="0" applyNumberForma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7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8" xfId="0" applyBorder="1"/>
    <xf numFmtId="0" fontId="0" fillId="0" borderId="17" xfId="0" applyBorder="1"/>
    <xf numFmtId="0" fontId="0" fillId="0" borderId="15" xfId="0" applyBorder="1"/>
    <xf numFmtId="0" fontId="0" fillId="0" borderId="11" xfId="0" applyBorder="1" applyAlignment="1">
      <alignment vertical="center"/>
    </xf>
    <xf numFmtId="0" fontId="0" fillId="0" borderId="5" xfId="0" applyBorder="1" applyAlignment="1">
      <alignment wrapText="1"/>
    </xf>
    <xf numFmtId="21" fontId="0" fillId="0" borderId="5" xfId="0" applyNumberFormat="1" applyBorder="1" applyAlignment="1">
      <alignment horizontal="right" vertical="center" wrapText="1"/>
    </xf>
    <xf numFmtId="21" fontId="2" fillId="0" borderId="2" xfId="0" applyNumberFormat="1" applyFont="1" applyBorder="1" applyAlignment="1">
      <alignment horizontal="right" vertical="center" wrapText="1"/>
    </xf>
    <xf numFmtId="21" fontId="2" fillId="0" borderId="1" xfId="0" applyNumberFormat="1" applyFont="1" applyBorder="1" applyAlignment="1">
      <alignment horizontal="right" vertical="center" wrapText="1"/>
    </xf>
    <xf numFmtId="0" fontId="0" fillId="0" borderId="23" xfId="0" applyBorder="1" applyAlignment="1">
      <alignment vertical="center"/>
    </xf>
    <xf numFmtId="16" fontId="0" fillId="0" borderId="19" xfId="0" applyNumberFormat="1" applyBorder="1"/>
    <xf numFmtId="16" fontId="0" fillId="0" borderId="24" xfId="0" applyNumberFormat="1" applyBorder="1"/>
    <xf numFmtId="16" fontId="0" fillId="0" borderId="25" xfId="0" applyNumberFormat="1" applyBorder="1"/>
    <xf numFmtId="16" fontId="0" fillId="0" borderId="26" xfId="0" applyNumberFormat="1" applyBorder="1"/>
    <xf numFmtId="0" fontId="0" fillId="0" borderId="22" xfId="0" applyBorder="1"/>
    <xf numFmtId="0" fontId="0" fillId="0" borderId="27" xfId="0" applyBorder="1"/>
    <xf numFmtId="0" fontId="0" fillId="0" borderId="13" xfId="0" applyBorder="1" applyAlignment="1">
      <alignment vertical="center"/>
    </xf>
    <xf numFmtId="0" fontId="3" fillId="0" borderId="15" xfId="0" applyFont="1" applyBorder="1"/>
    <xf numFmtId="0" fontId="0" fillId="0" borderId="14" xfId="0" applyBorder="1" applyAlignment="1">
      <alignment horizontal="center" vertical="center"/>
    </xf>
    <xf numFmtId="0" fontId="3" fillId="0" borderId="18" xfId="0" applyFont="1" applyBorder="1"/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" xfId="0" applyFont="1" applyBorder="1"/>
    <xf numFmtId="0" fontId="0" fillId="0" borderId="3" xfId="0" applyBorder="1"/>
    <xf numFmtId="16" fontId="0" fillId="0" borderId="30" xfId="0" applyNumberFormat="1" applyBorder="1"/>
    <xf numFmtId="0" fontId="4" fillId="0" borderId="15" xfId="0" applyFont="1" applyBorder="1"/>
    <xf numFmtId="0" fontId="0" fillId="0" borderId="16" xfId="0" applyBorder="1" applyAlignment="1">
      <alignment horizontal="center" vertical="center"/>
    </xf>
    <xf numFmtId="21" fontId="0" fillId="0" borderId="20" xfId="0" applyNumberFormat="1" applyBorder="1" applyAlignment="1">
      <alignment horizontal="right" vertical="center" wrapText="1"/>
    </xf>
    <xf numFmtId="16" fontId="0" fillId="0" borderId="31" xfId="0" applyNumberFormat="1" applyBorder="1"/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wrapText="1"/>
    </xf>
    <xf numFmtId="21" fontId="0" fillId="0" borderId="21" xfId="0" applyNumberFormat="1" applyBorder="1" applyAlignment="1">
      <alignment horizontal="right" vertical="center" wrapText="1"/>
    </xf>
    <xf numFmtId="21" fontId="0" fillId="0" borderId="32" xfId="0" applyNumberFormat="1" applyBorder="1" applyAlignment="1">
      <alignment horizontal="center" vertical="center" wrapText="1"/>
    </xf>
    <xf numFmtId="0" fontId="0" fillId="0" borderId="23" xfId="0" applyBorder="1"/>
    <xf numFmtId="0" fontId="4" fillId="0" borderId="18" xfId="0" applyFont="1" applyBorder="1"/>
    <xf numFmtId="0" fontId="3" fillId="0" borderId="16" xfId="0" applyFont="1" applyBorder="1"/>
    <xf numFmtId="0" fontId="0" fillId="0" borderId="33" xfId="0" applyBorder="1" applyAlignment="1">
      <alignment horizontal="center" vertical="center"/>
    </xf>
    <xf numFmtId="0" fontId="0" fillId="0" borderId="17" xfId="0" applyBorder="1" applyAlignment="1">
      <alignment wrapText="1"/>
    </xf>
    <xf numFmtId="21" fontId="0" fillId="0" borderId="34" xfId="0" applyNumberFormat="1" applyBorder="1" applyAlignment="1">
      <alignment horizontal="center" vertical="center" wrapText="1"/>
    </xf>
    <xf numFmtId="21" fontId="0" fillId="0" borderId="35" xfId="0" applyNumberFormat="1" applyBorder="1"/>
    <xf numFmtId="16" fontId="0" fillId="0" borderId="36" xfId="0" applyNumberFormat="1" applyBorder="1"/>
    <xf numFmtId="0" fontId="3" fillId="0" borderId="21" xfId="0" applyFont="1" applyBorder="1"/>
    <xf numFmtId="0" fontId="0" fillId="0" borderId="37" xfId="0" applyBorder="1"/>
  </cellXfs>
  <cellStyles count="1">
    <cellStyle name="Normal" xfId="0" builtinId="0"/>
  </cellStyles>
  <dxfs count="10"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26" formatCode="hh:mm:ss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d/mmm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9E7828-579D-452D-82C5-AAB1E1652B89}" name="Tabela27" displayName="Tabela27" ref="A1:J135" totalsRowShown="0">
  <autoFilter ref="A1:J135" xr:uid="{00000000-0001-0000-0000-000000000000}"/>
  <tableColumns count="10">
    <tableColumn id="1" xr3:uid="{CF8C2983-6ED6-4CE2-8549-6A83FB04C066}" name="MacroTarefa" dataDxfId="9"/>
    <tableColumn id="2" xr3:uid="{5DD0B2A1-E1C5-4B4B-9A8C-110B4BABA47B}" name="Data" dataDxfId="8"/>
    <tableColumn id="3" xr3:uid="{941389CB-8950-42CE-972F-39D4D54A075B}" name="Hora" dataDxfId="7"/>
    <tableColumn id="4" xr3:uid="{8EE7520D-9248-4A03-B923-7C7B0E3E7D46}" name="Parede" dataDxfId="6"/>
    <tableColumn id="5" xr3:uid="{0F389CED-A3D4-4913-B3AA-170064841E1A}" name="Tipologia" dataDxfId="5"/>
    <tableColumn id="6" xr3:uid="{1ACB5DE6-5721-46E9-8668-A95658A162DF}" name="MicroTarefa" dataDxfId="4"/>
    <tableColumn id="7" xr3:uid="{2C631491-2A7D-443B-BA5F-21BA0305D510}" name="Tempo" dataDxfId="3"/>
    <tableColumn id="8" xr3:uid="{906A8E6F-96B3-4974-A7B5-E4FA9F72C5AC}" name="Tempo Médio/Parede" dataDxfId="2"/>
    <tableColumn id="9" xr3:uid="{A30DC650-89B5-4ADC-A9AF-09759A4CE73F}" name="Nº FTEs Atual Alocados" dataDxfId="1"/>
    <tableColumn id="10" xr3:uid="{B47DCB17-2487-42A1-914B-2E73DA742F2A}" name="Operad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7C11-0AA1-4785-8909-A7011D7AB72E}">
  <dimension ref="A1:J135"/>
  <sheetViews>
    <sheetView tabSelected="1" zoomScale="77" workbookViewId="0">
      <selection activeCell="E136" sqref="E136"/>
    </sheetView>
  </sheetViews>
  <sheetFormatPr defaultRowHeight="14.4" x14ac:dyDescent="0.3"/>
  <cols>
    <col min="1" max="1" width="21" bestFit="1" customWidth="1"/>
    <col min="2" max="2" width="8.109375" customWidth="1"/>
    <col min="3" max="3" width="10.5546875" bestFit="1" customWidth="1"/>
    <col min="4" max="4" width="14.6640625" bestFit="1" customWidth="1"/>
    <col min="5" max="5" width="14.6640625" customWidth="1"/>
    <col min="6" max="6" width="75.33203125" bestFit="1" customWidth="1"/>
    <col min="7" max="7" width="30" bestFit="1" customWidth="1"/>
    <col min="8" max="8" width="30" customWidth="1"/>
    <col min="9" max="9" width="21" bestFit="1" customWidth="1"/>
    <col min="10" max="10" width="25.109375" bestFit="1" customWidth="1"/>
    <col min="11" max="11" width="19.109375" bestFit="1" customWidth="1"/>
    <col min="12" max="12" width="11.44140625" bestFit="1" customWidth="1"/>
    <col min="16" max="17" width="10.33203125" bestFit="1" customWidth="1"/>
    <col min="18" max="18" width="9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2" t="s">
        <v>9</v>
      </c>
    </row>
    <row r="2" spans="1:10" ht="17.25" customHeight="1" x14ac:dyDescent="0.3">
      <c r="A2" s="16" t="s">
        <v>10</v>
      </c>
      <c r="B2" s="30">
        <v>46146</v>
      </c>
      <c r="C2" s="3"/>
      <c r="D2" s="33" t="s">
        <v>11</v>
      </c>
      <c r="E2" s="6"/>
      <c r="F2" s="10" t="s">
        <v>12</v>
      </c>
      <c r="G2" s="11">
        <v>1.7361111111111112E-4</v>
      </c>
      <c r="H2" s="13">
        <f>SUM(G2:G24)</f>
        <v>1.9143518518518518E-2</v>
      </c>
      <c r="I2" s="21">
        <v>2</v>
      </c>
      <c r="J2" s="39" t="s">
        <v>13</v>
      </c>
    </row>
    <row r="3" spans="1:10" x14ac:dyDescent="0.3">
      <c r="A3" s="16" t="s">
        <v>10</v>
      </c>
      <c r="B3" s="31">
        <v>46146</v>
      </c>
      <c r="C3" s="17"/>
      <c r="D3" s="34" t="s">
        <v>11</v>
      </c>
      <c r="E3" s="37"/>
      <c r="F3" s="8" t="s">
        <v>14</v>
      </c>
      <c r="G3" s="9">
        <v>1.2847222222222223E-3</v>
      </c>
      <c r="H3" s="14"/>
      <c r="I3" s="17">
        <v>2</v>
      </c>
      <c r="J3" s="39" t="s">
        <v>13</v>
      </c>
    </row>
    <row r="4" spans="1:10" x14ac:dyDescent="0.3">
      <c r="A4" s="16" t="s">
        <v>10</v>
      </c>
      <c r="B4" s="31">
        <v>46146</v>
      </c>
      <c r="C4" s="2"/>
      <c r="D4" s="34" t="s">
        <v>11</v>
      </c>
      <c r="E4" s="1"/>
      <c r="F4" s="8" t="s">
        <v>15</v>
      </c>
      <c r="G4" s="9">
        <v>7.7546296296296293E-4</v>
      </c>
      <c r="H4" s="14"/>
      <c r="I4" s="17">
        <v>2</v>
      </c>
      <c r="J4" s="39" t="s">
        <v>13</v>
      </c>
    </row>
    <row r="5" spans="1:10" x14ac:dyDescent="0.3">
      <c r="A5" s="16" t="s">
        <v>10</v>
      </c>
      <c r="B5" s="31">
        <v>46146</v>
      </c>
      <c r="C5" s="2"/>
      <c r="D5" s="34" t="s">
        <v>11</v>
      </c>
      <c r="E5" s="1"/>
      <c r="F5" s="8" t="s">
        <v>16</v>
      </c>
      <c r="G5" s="9">
        <v>1.1574074074074073E-3</v>
      </c>
      <c r="H5" s="14"/>
      <c r="I5" s="17">
        <v>2</v>
      </c>
      <c r="J5" s="39" t="s">
        <v>13</v>
      </c>
    </row>
    <row r="6" spans="1:10" x14ac:dyDescent="0.3">
      <c r="A6" s="16" t="s">
        <v>10</v>
      </c>
      <c r="B6" s="31">
        <v>46146</v>
      </c>
      <c r="C6" s="2"/>
      <c r="D6" s="34" t="s">
        <v>11</v>
      </c>
      <c r="E6" s="1"/>
      <c r="F6" s="8" t="s">
        <v>17</v>
      </c>
      <c r="G6" s="9">
        <v>9.0277777777777774E-4</v>
      </c>
      <c r="H6" s="14"/>
      <c r="I6" s="17">
        <v>1</v>
      </c>
      <c r="J6" s="39" t="s">
        <v>18</v>
      </c>
    </row>
    <row r="7" spans="1:10" ht="17.25" customHeight="1" x14ac:dyDescent="0.3">
      <c r="A7" s="16" t="s">
        <v>10</v>
      </c>
      <c r="B7" s="31">
        <v>46146</v>
      </c>
      <c r="C7" s="2"/>
      <c r="D7" s="34" t="s">
        <v>11</v>
      </c>
      <c r="E7" s="1"/>
      <c r="F7" s="8" t="s">
        <v>19</v>
      </c>
      <c r="G7" s="9">
        <v>1.9675925925925926E-4</v>
      </c>
      <c r="H7" s="14"/>
      <c r="I7" s="17">
        <v>2</v>
      </c>
      <c r="J7" s="39" t="s">
        <v>13</v>
      </c>
    </row>
    <row r="8" spans="1:10" x14ac:dyDescent="0.3">
      <c r="A8" s="16" t="s">
        <v>10</v>
      </c>
      <c r="B8" s="31">
        <v>46146</v>
      </c>
      <c r="C8" s="2"/>
      <c r="D8" s="34" t="s">
        <v>11</v>
      </c>
      <c r="E8" s="1"/>
      <c r="F8" s="8" t="s">
        <v>20</v>
      </c>
      <c r="G8" s="9">
        <v>4.7453703703703704E-4</v>
      </c>
      <c r="H8" s="14"/>
      <c r="I8" s="17">
        <v>2</v>
      </c>
      <c r="J8" s="39" t="s">
        <v>13</v>
      </c>
    </row>
    <row r="9" spans="1:10" x14ac:dyDescent="0.3">
      <c r="A9" s="16" t="s">
        <v>10</v>
      </c>
      <c r="B9" s="31">
        <v>46146</v>
      </c>
      <c r="C9" s="2"/>
      <c r="D9" s="34" t="s">
        <v>11</v>
      </c>
      <c r="E9" s="1"/>
      <c r="F9" s="8" t="s">
        <v>21</v>
      </c>
      <c r="G9" s="9">
        <v>1.6666666666666668E-3</v>
      </c>
      <c r="H9" s="14"/>
      <c r="I9" s="17">
        <v>2</v>
      </c>
      <c r="J9" s="39" t="s">
        <v>13</v>
      </c>
    </row>
    <row r="10" spans="1:10" x14ac:dyDescent="0.3">
      <c r="A10" s="16" t="s">
        <v>10</v>
      </c>
      <c r="B10" s="31">
        <v>46146</v>
      </c>
      <c r="C10" s="2"/>
      <c r="D10" s="34" t="s">
        <v>11</v>
      </c>
      <c r="E10" s="1"/>
      <c r="F10" s="8" t="s">
        <v>22</v>
      </c>
      <c r="G10" s="9">
        <v>6.018518518518519E-4</v>
      </c>
      <c r="H10" s="14"/>
      <c r="I10" s="17">
        <v>2</v>
      </c>
      <c r="J10" s="39" t="s">
        <v>13</v>
      </c>
    </row>
    <row r="11" spans="1:10" x14ac:dyDescent="0.3">
      <c r="A11" s="16" t="s">
        <v>10</v>
      </c>
      <c r="B11" s="31">
        <v>46146</v>
      </c>
      <c r="C11" s="2"/>
      <c r="D11" s="34" t="s">
        <v>11</v>
      </c>
      <c r="E11" s="1"/>
      <c r="F11" s="8" t="s">
        <v>23</v>
      </c>
      <c r="G11" s="9">
        <v>7.8703703703703705E-4</v>
      </c>
      <c r="H11" s="14"/>
      <c r="I11" s="17">
        <v>1</v>
      </c>
      <c r="J11" s="39" t="s">
        <v>24</v>
      </c>
    </row>
    <row r="12" spans="1:10" x14ac:dyDescent="0.3">
      <c r="A12" s="16" t="s">
        <v>10</v>
      </c>
      <c r="B12" s="31">
        <v>46146</v>
      </c>
      <c r="C12" s="2"/>
      <c r="D12" s="34" t="s">
        <v>11</v>
      </c>
      <c r="E12" s="1"/>
      <c r="F12" s="8" t="s">
        <v>25</v>
      </c>
      <c r="G12" s="9">
        <v>2.5462962962962961E-4</v>
      </c>
      <c r="H12" s="14"/>
      <c r="I12" s="17">
        <v>2</v>
      </c>
      <c r="J12" s="39" t="s">
        <v>13</v>
      </c>
    </row>
    <row r="13" spans="1:10" x14ac:dyDescent="0.3">
      <c r="A13" s="16" t="s">
        <v>10</v>
      </c>
      <c r="B13" s="29">
        <v>46146</v>
      </c>
      <c r="C13" s="2"/>
      <c r="D13" s="34" t="s">
        <v>11</v>
      </c>
      <c r="E13" s="1"/>
      <c r="F13" s="8" t="s">
        <v>26</v>
      </c>
      <c r="G13" s="9">
        <v>5.2083333333333333E-4</v>
      </c>
      <c r="H13" s="14"/>
      <c r="I13" s="17">
        <v>1</v>
      </c>
      <c r="J13" s="39" t="s">
        <v>18</v>
      </c>
    </row>
    <row r="14" spans="1:10" x14ac:dyDescent="0.3">
      <c r="A14" s="16" t="s">
        <v>10</v>
      </c>
      <c r="B14" s="32">
        <v>46146</v>
      </c>
      <c r="C14" s="2"/>
      <c r="D14" s="34" t="s">
        <v>11</v>
      </c>
      <c r="E14" s="1"/>
      <c r="F14" s="8" t="s">
        <v>27</v>
      </c>
      <c r="G14" s="9">
        <v>1.6319444444444445E-3</v>
      </c>
      <c r="H14" s="14"/>
      <c r="I14" s="17">
        <v>2</v>
      </c>
      <c r="J14" s="39" t="s">
        <v>13</v>
      </c>
    </row>
    <row r="15" spans="1:10" x14ac:dyDescent="0.3">
      <c r="A15" s="16" t="s">
        <v>10</v>
      </c>
      <c r="B15" s="31">
        <v>46146</v>
      </c>
      <c r="C15" s="2"/>
      <c r="D15" s="34" t="s">
        <v>11</v>
      </c>
      <c r="E15" s="1"/>
      <c r="F15" s="8" t="s">
        <v>28</v>
      </c>
      <c r="G15" s="9">
        <v>2.0833333333333335E-4</v>
      </c>
      <c r="H15" s="14"/>
      <c r="I15" s="17">
        <v>2</v>
      </c>
      <c r="J15" s="39" t="s">
        <v>13</v>
      </c>
    </row>
    <row r="16" spans="1:10" x14ac:dyDescent="0.3">
      <c r="A16" s="16" t="s">
        <v>10</v>
      </c>
      <c r="B16" s="31">
        <v>46146</v>
      </c>
      <c r="C16" s="2"/>
      <c r="D16" s="34" t="s">
        <v>11</v>
      </c>
      <c r="E16" s="1"/>
      <c r="F16" s="8" t="s">
        <v>29</v>
      </c>
      <c r="G16" s="9">
        <v>1.5046296296296297E-4</v>
      </c>
      <c r="H16" s="14"/>
      <c r="I16" s="17">
        <v>2</v>
      </c>
      <c r="J16" s="39" t="s">
        <v>13</v>
      </c>
    </row>
    <row r="17" spans="1:10" x14ac:dyDescent="0.3">
      <c r="A17" s="16" t="s">
        <v>10</v>
      </c>
      <c r="B17" s="31">
        <v>46146</v>
      </c>
      <c r="C17" s="2"/>
      <c r="D17" s="34" t="s">
        <v>11</v>
      </c>
      <c r="E17" s="1"/>
      <c r="F17" s="8" t="s">
        <v>30</v>
      </c>
      <c r="G17" s="9">
        <v>2.1412037037037038E-3</v>
      </c>
      <c r="H17" s="14"/>
      <c r="I17" s="17">
        <v>1</v>
      </c>
      <c r="J17" s="39" t="s">
        <v>24</v>
      </c>
    </row>
    <row r="18" spans="1:10" x14ac:dyDescent="0.3">
      <c r="A18" s="16" t="s">
        <v>10</v>
      </c>
      <c r="B18" s="31">
        <v>46146</v>
      </c>
      <c r="C18" s="2"/>
      <c r="D18" s="34" t="s">
        <v>11</v>
      </c>
      <c r="E18" s="1"/>
      <c r="F18" s="8" t="s">
        <v>31</v>
      </c>
      <c r="G18" s="9">
        <v>7.9861111111111116E-4</v>
      </c>
      <c r="H18" s="14"/>
      <c r="I18" s="17">
        <v>1</v>
      </c>
      <c r="J18" s="39" t="s">
        <v>32</v>
      </c>
    </row>
    <row r="19" spans="1:10" x14ac:dyDescent="0.3">
      <c r="A19" s="16" t="s">
        <v>10</v>
      </c>
      <c r="B19" s="31">
        <v>46146</v>
      </c>
      <c r="C19" s="2"/>
      <c r="D19" s="34" t="s">
        <v>11</v>
      </c>
      <c r="E19" s="1"/>
      <c r="F19" s="8" t="s">
        <v>33</v>
      </c>
      <c r="G19" s="9">
        <v>1.6203703703703703E-4</v>
      </c>
      <c r="H19" s="14"/>
      <c r="I19" s="17">
        <v>2</v>
      </c>
      <c r="J19" s="39" t="s">
        <v>13</v>
      </c>
    </row>
    <row r="20" spans="1:10" x14ac:dyDescent="0.3">
      <c r="A20" s="16" t="s">
        <v>10</v>
      </c>
      <c r="B20" s="31">
        <v>46146</v>
      </c>
      <c r="C20" s="2"/>
      <c r="D20" s="34" t="s">
        <v>11</v>
      </c>
      <c r="E20" s="1"/>
      <c r="F20" s="8" t="s">
        <v>34</v>
      </c>
      <c r="G20" s="9">
        <v>8.9120370370370373E-4</v>
      </c>
      <c r="H20" s="14"/>
      <c r="I20" s="17">
        <v>2</v>
      </c>
      <c r="J20" s="39" t="s">
        <v>13</v>
      </c>
    </row>
    <row r="21" spans="1:10" x14ac:dyDescent="0.3">
      <c r="A21" s="16" t="s">
        <v>10</v>
      </c>
      <c r="B21" s="31">
        <v>46146</v>
      </c>
      <c r="C21" s="2"/>
      <c r="D21" s="34" t="s">
        <v>11</v>
      </c>
      <c r="E21" s="1"/>
      <c r="F21" s="8" t="s">
        <v>35</v>
      </c>
      <c r="G21" s="9">
        <v>2.8703703703703703E-3</v>
      </c>
      <c r="H21" s="14"/>
      <c r="I21" s="17">
        <v>1</v>
      </c>
      <c r="J21" s="39" t="s">
        <v>32</v>
      </c>
    </row>
    <row r="22" spans="1:10" x14ac:dyDescent="0.3">
      <c r="A22" s="16" t="s">
        <v>10</v>
      </c>
      <c r="B22" s="31">
        <v>46146</v>
      </c>
      <c r="C22" s="2"/>
      <c r="D22" s="34" t="s">
        <v>11</v>
      </c>
      <c r="E22" s="1"/>
      <c r="F22" s="8" t="s">
        <v>36</v>
      </c>
      <c r="G22" s="9">
        <v>1.0300925925925926E-3</v>
      </c>
      <c r="H22" s="14"/>
      <c r="I22" s="17">
        <v>1</v>
      </c>
      <c r="J22" s="39" t="s">
        <v>32</v>
      </c>
    </row>
    <row r="23" spans="1:10" x14ac:dyDescent="0.3">
      <c r="A23" s="16" t="s">
        <v>10</v>
      </c>
      <c r="B23" s="31">
        <v>46146</v>
      </c>
      <c r="C23" s="2"/>
      <c r="D23" s="34" t="s">
        <v>11</v>
      </c>
      <c r="E23" s="1"/>
      <c r="F23" s="8" t="s">
        <v>37</v>
      </c>
      <c r="G23" s="9">
        <v>1.7361111111111112E-4</v>
      </c>
      <c r="H23" s="14"/>
      <c r="I23" s="17">
        <v>1</v>
      </c>
      <c r="J23" s="39" t="s">
        <v>18</v>
      </c>
    </row>
    <row r="24" spans="1:10" ht="15" thickBot="1" x14ac:dyDescent="0.35">
      <c r="A24" s="28" t="s">
        <v>10</v>
      </c>
      <c r="B24" s="31">
        <v>46146</v>
      </c>
      <c r="C24" s="2"/>
      <c r="D24" s="34" t="s">
        <v>11</v>
      </c>
      <c r="E24" s="1"/>
      <c r="F24" s="8" t="s">
        <v>38</v>
      </c>
      <c r="G24" s="9">
        <v>2.8935185185185184E-4</v>
      </c>
      <c r="H24" s="14"/>
      <c r="I24" s="17">
        <v>2</v>
      </c>
      <c r="J24" s="40" t="s">
        <v>13</v>
      </c>
    </row>
    <row r="25" spans="1:10" x14ac:dyDescent="0.3">
      <c r="A25" s="35" t="s">
        <v>10</v>
      </c>
      <c r="B25" s="30">
        <v>46146</v>
      </c>
      <c r="C25" s="3"/>
      <c r="D25" s="20" t="s">
        <v>39</v>
      </c>
      <c r="E25" s="6"/>
      <c r="F25" s="10" t="s">
        <v>40</v>
      </c>
      <c r="G25" s="11">
        <v>6.9444444444444447E-4</v>
      </c>
      <c r="H25" s="13">
        <f>SUM(G25:G40)</f>
        <v>9.0509259259259258E-3</v>
      </c>
      <c r="I25" s="21">
        <v>2</v>
      </c>
      <c r="J25" s="41" t="s">
        <v>41</v>
      </c>
    </row>
    <row r="26" spans="1:10" x14ac:dyDescent="0.3">
      <c r="A26" s="16" t="s">
        <v>10</v>
      </c>
      <c r="B26" s="31">
        <v>46146</v>
      </c>
      <c r="C26" s="17"/>
      <c r="D26" s="36" t="s">
        <v>39</v>
      </c>
      <c r="E26" s="37"/>
      <c r="F26" s="8" t="s">
        <v>42</v>
      </c>
      <c r="G26" s="9">
        <v>1.0416666666666667E-3</v>
      </c>
      <c r="H26" s="14"/>
      <c r="I26" s="17">
        <v>2</v>
      </c>
      <c r="J26" s="41" t="s">
        <v>41</v>
      </c>
    </row>
    <row r="27" spans="1:10" x14ac:dyDescent="0.3">
      <c r="A27" s="16" t="s">
        <v>10</v>
      </c>
      <c r="B27" s="31">
        <v>46146</v>
      </c>
      <c r="C27" s="17"/>
      <c r="D27" s="36" t="s">
        <v>39</v>
      </c>
      <c r="E27" s="37"/>
      <c r="F27" s="8" t="s">
        <v>15</v>
      </c>
      <c r="G27" s="9">
        <v>5.9027777777777778E-4</v>
      </c>
      <c r="H27" s="14"/>
      <c r="I27" s="17">
        <v>2</v>
      </c>
      <c r="J27" s="41" t="s">
        <v>41</v>
      </c>
    </row>
    <row r="28" spans="1:10" x14ac:dyDescent="0.3">
      <c r="A28" s="16" t="s">
        <v>10</v>
      </c>
      <c r="B28" s="31">
        <v>46146</v>
      </c>
      <c r="C28" s="17"/>
      <c r="D28" s="36" t="s">
        <v>39</v>
      </c>
      <c r="E28" s="37"/>
      <c r="F28" s="8" t="s">
        <v>16</v>
      </c>
      <c r="G28" s="9">
        <v>7.7546296296296293E-4</v>
      </c>
      <c r="H28" s="14"/>
      <c r="I28" s="17">
        <v>1</v>
      </c>
      <c r="J28" s="39" t="s">
        <v>43</v>
      </c>
    </row>
    <row r="29" spans="1:10" x14ac:dyDescent="0.3">
      <c r="A29" s="16" t="s">
        <v>10</v>
      </c>
      <c r="B29" s="31">
        <v>46146</v>
      </c>
      <c r="C29" s="17"/>
      <c r="D29" s="36" t="s">
        <v>39</v>
      </c>
      <c r="E29" s="37"/>
      <c r="F29" s="8" t="s">
        <v>44</v>
      </c>
      <c r="G29" s="9">
        <v>5.3240740740740744E-4</v>
      </c>
      <c r="H29" s="14"/>
      <c r="I29" s="17">
        <v>1</v>
      </c>
      <c r="J29" s="39" t="s">
        <v>45</v>
      </c>
    </row>
    <row r="30" spans="1:10" x14ac:dyDescent="0.3">
      <c r="A30" s="16" t="s">
        <v>10</v>
      </c>
      <c r="B30" s="31">
        <v>46146</v>
      </c>
      <c r="C30" s="17"/>
      <c r="D30" s="36" t="s">
        <v>39</v>
      </c>
      <c r="E30" s="37"/>
      <c r="F30" s="8" t="s">
        <v>46</v>
      </c>
      <c r="G30" s="9">
        <v>2.3148148148148149E-4</v>
      </c>
      <c r="H30" s="14"/>
      <c r="I30" s="17">
        <v>2</v>
      </c>
      <c r="J30" s="41" t="s">
        <v>41</v>
      </c>
    </row>
    <row r="31" spans="1:10" x14ac:dyDescent="0.3">
      <c r="A31" s="16" t="s">
        <v>10</v>
      </c>
      <c r="B31" s="29">
        <v>46146</v>
      </c>
      <c r="C31" s="17"/>
      <c r="D31" s="36" t="s">
        <v>39</v>
      </c>
      <c r="E31" s="37"/>
      <c r="F31" s="8" t="s">
        <v>47</v>
      </c>
      <c r="G31" s="9">
        <v>5.4398148148148144E-4</v>
      </c>
      <c r="H31" s="14"/>
      <c r="I31" s="17">
        <v>2</v>
      </c>
      <c r="J31" s="41" t="s">
        <v>41</v>
      </c>
    </row>
    <row r="32" spans="1:10" x14ac:dyDescent="0.3">
      <c r="A32" s="16" t="s">
        <v>10</v>
      </c>
      <c r="B32" s="32">
        <v>46146</v>
      </c>
      <c r="C32" s="17"/>
      <c r="D32" s="36" t="s">
        <v>39</v>
      </c>
      <c r="E32" s="37"/>
      <c r="F32" s="8" t="s">
        <v>48</v>
      </c>
      <c r="G32" s="9">
        <v>1.0763888888888889E-3</v>
      </c>
      <c r="H32" s="14"/>
      <c r="I32" s="17">
        <v>2</v>
      </c>
      <c r="J32" s="41" t="s">
        <v>41</v>
      </c>
    </row>
    <row r="33" spans="1:10" x14ac:dyDescent="0.3">
      <c r="A33" s="16" t="s">
        <v>10</v>
      </c>
      <c r="B33" s="31">
        <v>46146</v>
      </c>
      <c r="C33" s="17"/>
      <c r="D33" s="36" t="s">
        <v>39</v>
      </c>
      <c r="E33" s="37"/>
      <c r="F33" s="8" t="s">
        <v>49</v>
      </c>
      <c r="G33" s="9">
        <v>1.7361111111111112E-4</v>
      </c>
      <c r="H33" s="14"/>
      <c r="I33" s="17">
        <v>1</v>
      </c>
      <c r="J33" s="39" t="s">
        <v>43</v>
      </c>
    </row>
    <row r="34" spans="1:10" x14ac:dyDescent="0.3">
      <c r="A34" s="16" t="s">
        <v>10</v>
      </c>
      <c r="B34" s="31">
        <v>46146</v>
      </c>
      <c r="C34" s="17"/>
      <c r="D34" s="36" t="s">
        <v>39</v>
      </c>
      <c r="E34" s="37"/>
      <c r="F34" s="8" t="s">
        <v>50</v>
      </c>
      <c r="G34" s="9">
        <v>3.5879629629629629E-4</v>
      </c>
      <c r="H34" s="14"/>
      <c r="I34" s="17">
        <v>2</v>
      </c>
      <c r="J34" s="41" t="s">
        <v>41</v>
      </c>
    </row>
    <row r="35" spans="1:10" x14ac:dyDescent="0.3">
      <c r="A35" s="16" t="s">
        <v>10</v>
      </c>
      <c r="B35" s="31">
        <v>46146</v>
      </c>
      <c r="C35" s="17"/>
      <c r="D35" s="36" t="s">
        <v>39</v>
      </c>
      <c r="E35" s="37"/>
      <c r="F35" s="8" t="s">
        <v>51</v>
      </c>
      <c r="G35" s="9">
        <v>1.9444444444444444E-3</v>
      </c>
      <c r="H35" s="14"/>
      <c r="I35" s="17">
        <v>2</v>
      </c>
      <c r="J35" s="41" t="s">
        <v>41</v>
      </c>
    </row>
    <row r="36" spans="1:10" x14ac:dyDescent="0.3">
      <c r="A36" s="16" t="s">
        <v>10</v>
      </c>
      <c r="B36" s="31">
        <v>46146</v>
      </c>
      <c r="C36" s="17"/>
      <c r="D36" s="36" t="s">
        <v>39</v>
      </c>
      <c r="E36" s="37"/>
      <c r="F36" s="8" t="s">
        <v>52</v>
      </c>
      <c r="G36" s="9">
        <v>1.0416666666666667E-4</v>
      </c>
      <c r="H36" s="14"/>
      <c r="I36" s="17">
        <v>2</v>
      </c>
      <c r="J36" s="41" t="s">
        <v>41</v>
      </c>
    </row>
    <row r="37" spans="1:10" x14ac:dyDescent="0.3">
      <c r="A37" s="16" t="s">
        <v>10</v>
      </c>
      <c r="B37" s="31">
        <v>46146</v>
      </c>
      <c r="C37" s="17"/>
      <c r="D37" s="36" t="s">
        <v>39</v>
      </c>
      <c r="E37" s="37"/>
      <c r="F37" s="8" t="s">
        <v>53</v>
      </c>
      <c r="G37" s="9">
        <v>1.6203703703703703E-4</v>
      </c>
      <c r="H37" s="14"/>
      <c r="I37" s="17">
        <v>2</v>
      </c>
      <c r="J37" s="41" t="s">
        <v>41</v>
      </c>
    </row>
    <row r="38" spans="1:10" x14ac:dyDescent="0.3">
      <c r="A38" s="16" t="s">
        <v>10</v>
      </c>
      <c r="B38" s="31">
        <v>46146</v>
      </c>
      <c r="C38" s="17"/>
      <c r="D38" s="36" t="s">
        <v>39</v>
      </c>
      <c r="E38" s="37"/>
      <c r="F38" s="8" t="s">
        <v>54</v>
      </c>
      <c r="G38" s="9">
        <v>4.0509259259259258E-4</v>
      </c>
      <c r="H38" s="14"/>
      <c r="I38" s="17">
        <v>1</v>
      </c>
      <c r="J38" s="39" t="s">
        <v>45</v>
      </c>
    </row>
    <row r="39" spans="1:10" x14ac:dyDescent="0.3">
      <c r="A39" s="16" t="s">
        <v>10</v>
      </c>
      <c r="B39" s="31">
        <v>46146</v>
      </c>
      <c r="C39" s="17"/>
      <c r="D39" s="36" t="s">
        <v>39</v>
      </c>
      <c r="E39" s="37"/>
      <c r="F39" s="8" t="s">
        <v>55</v>
      </c>
      <c r="G39" s="9">
        <v>2.4305555555555555E-4</v>
      </c>
      <c r="H39" s="14"/>
      <c r="I39" s="17">
        <v>1</v>
      </c>
      <c r="J39" s="39" t="s">
        <v>43</v>
      </c>
    </row>
    <row r="40" spans="1:10" ht="15" thickBot="1" x14ac:dyDescent="0.35">
      <c r="A40" s="28" t="s">
        <v>10</v>
      </c>
      <c r="B40" s="31">
        <v>46146</v>
      </c>
      <c r="C40" s="17"/>
      <c r="D40" s="38" t="s">
        <v>39</v>
      </c>
      <c r="E40" s="37"/>
      <c r="F40" s="8" t="s">
        <v>56</v>
      </c>
      <c r="G40" s="9">
        <v>1.7361111111111112E-4</v>
      </c>
      <c r="H40" s="14"/>
      <c r="I40" s="17">
        <v>2</v>
      </c>
      <c r="J40" s="42" t="s">
        <v>41</v>
      </c>
    </row>
    <row r="41" spans="1:10" x14ac:dyDescent="0.3">
      <c r="A41" s="35" t="s">
        <v>10</v>
      </c>
      <c r="B41" s="30">
        <v>46146</v>
      </c>
      <c r="C41" s="3"/>
      <c r="D41" s="20" t="s">
        <v>39</v>
      </c>
      <c r="E41" s="6"/>
      <c r="F41" s="10" t="s">
        <v>40</v>
      </c>
      <c r="G41" s="26">
        <v>6.9444444444444447E-4</v>
      </c>
      <c r="H41" s="13">
        <f>SUM(G41:G56)</f>
        <v>9.0740740740740747E-3</v>
      </c>
      <c r="I41" s="21">
        <v>2</v>
      </c>
      <c r="J41" s="41" t="s">
        <v>41</v>
      </c>
    </row>
    <row r="42" spans="1:10" x14ac:dyDescent="0.3">
      <c r="A42" s="16" t="s">
        <v>10</v>
      </c>
      <c r="B42" s="31">
        <v>46146</v>
      </c>
      <c r="C42" s="2"/>
      <c r="D42" s="36" t="s">
        <v>39</v>
      </c>
      <c r="E42" s="1"/>
      <c r="F42" s="8" t="s">
        <v>42</v>
      </c>
      <c r="G42" s="27">
        <v>1.0416666666666667E-3</v>
      </c>
      <c r="H42" s="14"/>
      <c r="I42" s="17">
        <v>2</v>
      </c>
      <c r="J42" s="41" t="s">
        <v>41</v>
      </c>
    </row>
    <row r="43" spans="1:10" x14ac:dyDescent="0.3">
      <c r="A43" s="16" t="s">
        <v>10</v>
      </c>
      <c r="B43" s="31">
        <v>46146</v>
      </c>
      <c r="C43" s="2"/>
      <c r="D43" s="36" t="s">
        <v>39</v>
      </c>
      <c r="E43" s="1"/>
      <c r="F43" s="8" t="s">
        <v>15</v>
      </c>
      <c r="G43" s="9">
        <v>1.1574074074074075E-4</v>
      </c>
      <c r="H43" s="14"/>
      <c r="I43" s="17">
        <v>2</v>
      </c>
      <c r="J43" s="39" t="s">
        <v>41</v>
      </c>
    </row>
    <row r="44" spans="1:10" x14ac:dyDescent="0.3">
      <c r="A44" s="16" t="s">
        <v>10</v>
      </c>
      <c r="B44" s="31">
        <v>46146</v>
      </c>
      <c r="C44" s="2"/>
      <c r="D44" s="36" t="s">
        <v>39</v>
      </c>
      <c r="E44" s="1"/>
      <c r="F44" s="8" t="s">
        <v>16</v>
      </c>
      <c r="G44" s="9">
        <v>2.5810185185185185E-3</v>
      </c>
      <c r="H44" s="14"/>
      <c r="I44" s="17">
        <v>3</v>
      </c>
      <c r="J44" s="39" t="s">
        <v>57</v>
      </c>
    </row>
    <row r="45" spans="1:10" x14ac:dyDescent="0.3">
      <c r="A45" s="16" t="s">
        <v>10</v>
      </c>
      <c r="B45" s="31">
        <v>46146</v>
      </c>
      <c r="C45" s="2"/>
      <c r="D45" s="36" t="s">
        <v>39</v>
      </c>
      <c r="E45" s="1"/>
      <c r="F45" s="8" t="s">
        <v>44</v>
      </c>
      <c r="G45" s="9">
        <v>3.3564814814814812E-4</v>
      </c>
      <c r="H45" s="14"/>
      <c r="I45" s="17">
        <v>1</v>
      </c>
      <c r="J45" s="39" t="s">
        <v>43</v>
      </c>
    </row>
    <row r="46" spans="1:10" x14ac:dyDescent="0.3">
      <c r="A46" s="16" t="s">
        <v>10</v>
      </c>
      <c r="B46" s="31">
        <v>46146</v>
      </c>
      <c r="C46" s="2"/>
      <c r="D46" s="36" t="s">
        <v>39</v>
      </c>
      <c r="E46" s="1"/>
      <c r="F46" s="8" t="s">
        <v>46</v>
      </c>
      <c r="G46" s="9">
        <v>2.8935185185185184E-4</v>
      </c>
      <c r="H46" s="14"/>
      <c r="I46" s="17">
        <v>2</v>
      </c>
      <c r="J46" s="39" t="s">
        <v>41</v>
      </c>
    </row>
    <row r="47" spans="1:10" x14ac:dyDescent="0.3">
      <c r="A47" s="16" t="s">
        <v>10</v>
      </c>
      <c r="B47" s="29">
        <v>46146</v>
      </c>
      <c r="C47" s="2"/>
      <c r="D47" s="36" t="s">
        <v>39</v>
      </c>
      <c r="E47" s="1"/>
      <c r="F47" s="8" t="s">
        <v>47</v>
      </c>
      <c r="G47" s="9">
        <v>4.0509259259259258E-4</v>
      </c>
      <c r="H47" s="14"/>
      <c r="I47" s="17">
        <v>2</v>
      </c>
      <c r="J47" s="39" t="s">
        <v>41</v>
      </c>
    </row>
    <row r="48" spans="1:10" x14ac:dyDescent="0.3">
      <c r="A48" s="16" t="s">
        <v>10</v>
      </c>
      <c r="B48" s="32">
        <v>46146</v>
      </c>
      <c r="C48" s="2"/>
      <c r="D48" s="36" t="s">
        <v>39</v>
      </c>
      <c r="E48" s="1"/>
      <c r="F48" s="8" t="s">
        <v>48</v>
      </c>
      <c r="G48" s="9">
        <v>1.4351851851851852E-3</v>
      </c>
      <c r="H48" s="14"/>
      <c r="I48" s="17">
        <v>2</v>
      </c>
      <c r="J48" s="39" t="s">
        <v>41</v>
      </c>
    </row>
    <row r="49" spans="1:10" x14ac:dyDescent="0.3">
      <c r="A49" s="16" t="s">
        <v>10</v>
      </c>
      <c r="B49" s="31">
        <v>46146</v>
      </c>
      <c r="C49" s="2"/>
      <c r="D49" s="36" t="s">
        <v>39</v>
      </c>
      <c r="E49" s="1"/>
      <c r="F49" s="8" t="s">
        <v>49</v>
      </c>
      <c r="G49" s="9">
        <v>1.1574074074074075E-4</v>
      </c>
      <c r="H49" s="14"/>
      <c r="I49" s="17">
        <v>1</v>
      </c>
      <c r="J49" s="39" t="s">
        <v>45</v>
      </c>
    </row>
    <row r="50" spans="1:10" x14ac:dyDescent="0.3">
      <c r="A50" s="16" t="s">
        <v>10</v>
      </c>
      <c r="B50" s="31">
        <v>46146</v>
      </c>
      <c r="C50" s="2"/>
      <c r="D50" s="36" t="s">
        <v>39</v>
      </c>
      <c r="E50" s="1"/>
      <c r="F50" s="8" t="s">
        <v>50</v>
      </c>
      <c r="G50" s="9">
        <v>2.3148148148148149E-4</v>
      </c>
      <c r="H50" s="14"/>
      <c r="I50" s="17">
        <v>1</v>
      </c>
      <c r="J50" s="39" t="s">
        <v>45</v>
      </c>
    </row>
    <row r="51" spans="1:10" x14ac:dyDescent="0.3">
      <c r="A51" s="16" t="s">
        <v>10</v>
      </c>
      <c r="B51" s="31">
        <v>46146</v>
      </c>
      <c r="C51" s="2"/>
      <c r="D51" s="36" t="s">
        <v>39</v>
      </c>
      <c r="E51" s="1"/>
      <c r="F51" s="8" t="s">
        <v>51</v>
      </c>
      <c r="G51" s="9">
        <v>5.3240740740740744E-4</v>
      </c>
      <c r="H51" s="14"/>
      <c r="I51" s="17">
        <v>1</v>
      </c>
      <c r="J51" s="39" t="s">
        <v>43</v>
      </c>
    </row>
    <row r="52" spans="1:10" x14ac:dyDescent="0.3">
      <c r="A52" s="16" t="s">
        <v>10</v>
      </c>
      <c r="B52" s="31">
        <v>46146</v>
      </c>
      <c r="C52" s="2"/>
      <c r="D52" s="36" t="s">
        <v>39</v>
      </c>
      <c r="E52" s="1"/>
      <c r="F52" s="8" t="s">
        <v>52</v>
      </c>
      <c r="G52" s="9">
        <v>2.8935185185185184E-4</v>
      </c>
      <c r="H52" s="14"/>
      <c r="I52" s="17">
        <v>1</v>
      </c>
      <c r="J52" s="39" t="s">
        <v>45</v>
      </c>
    </row>
    <row r="53" spans="1:10" x14ac:dyDescent="0.3">
      <c r="A53" s="16" t="s">
        <v>10</v>
      </c>
      <c r="B53" s="31">
        <v>46146</v>
      </c>
      <c r="C53" s="2"/>
      <c r="D53" s="36" t="s">
        <v>39</v>
      </c>
      <c r="E53" s="1"/>
      <c r="F53" s="8" t="s">
        <v>53</v>
      </c>
      <c r="G53" s="9">
        <v>1.3888888888888889E-4</v>
      </c>
      <c r="H53" s="14"/>
      <c r="I53" s="17">
        <v>2</v>
      </c>
      <c r="J53" s="39" t="s">
        <v>41</v>
      </c>
    </row>
    <row r="54" spans="1:10" x14ac:dyDescent="0.3">
      <c r="A54" s="16" t="s">
        <v>10</v>
      </c>
      <c r="B54" s="31">
        <v>46146</v>
      </c>
      <c r="C54" s="2"/>
      <c r="D54" s="36" t="s">
        <v>39</v>
      </c>
      <c r="E54" s="1"/>
      <c r="F54" s="8" t="s">
        <v>54</v>
      </c>
      <c r="G54" s="9">
        <v>3.5879629629629629E-4</v>
      </c>
      <c r="H54" s="14"/>
      <c r="I54" s="17">
        <v>1</v>
      </c>
      <c r="J54" s="39" t="s">
        <v>45</v>
      </c>
    </row>
    <row r="55" spans="1:10" x14ac:dyDescent="0.3">
      <c r="A55" s="16" t="s">
        <v>10</v>
      </c>
      <c r="B55" s="31">
        <v>46146</v>
      </c>
      <c r="C55" s="2"/>
      <c r="D55" s="36" t="s">
        <v>39</v>
      </c>
      <c r="E55" s="1"/>
      <c r="F55" s="8" t="s">
        <v>55</v>
      </c>
      <c r="G55" s="9">
        <v>3.2407407407407406E-4</v>
      </c>
      <c r="H55" s="14"/>
      <c r="I55" s="17">
        <v>1</v>
      </c>
      <c r="J55" s="47" t="s">
        <v>43</v>
      </c>
    </row>
    <row r="56" spans="1:10" ht="15" thickBot="1" x14ac:dyDescent="0.35">
      <c r="A56" s="28" t="s">
        <v>10</v>
      </c>
      <c r="B56" s="31">
        <v>46146</v>
      </c>
      <c r="C56" s="2"/>
      <c r="D56" s="38" t="s">
        <v>39</v>
      </c>
      <c r="E56" s="1"/>
      <c r="F56" s="8" t="s">
        <v>56</v>
      </c>
      <c r="G56" s="9">
        <v>1.8518518518518518E-4</v>
      </c>
      <c r="H56" s="14"/>
      <c r="I56" s="17">
        <v>2</v>
      </c>
      <c r="J56" s="42" t="s">
        <v>41</v>
      </c>
    </row>
    <row r="57" spans="1:10" ht="17.25" customHeight="1" x14ac:dyDescent="0.3">
      <c r="A57" s="35" t="s">
        <v>10</v>
      </c>
      <c r="B57" s="30">
        <v>46146</v>
      </c>
      <c r="C57" s="3"/>
      <c r="D57" s="33" t="s">
        <v>11</v>
      </c>
      <c r="E57" s="6"/>
      <c r="F57" s="10" t="s">
        <v>58</v>
      </c>
      <c r="G57" s="11">
        <v>4.6296296296296298E-4</v>
      </c>
      <c r="H57" s="13">
        <f>SUM(G57:G79)</f>
        <v>2.4849537037037038E-2</v>
      </c>
      <c r="I57" s="21">
        <v>1</v>
      </c>
      <c r="J57" s="41" t="s">
        <v>32</v>
      </c>
    </row>
    <row r="58" spans="1:10" x14ac:dyDescent="0.3">
      <c r="A58" s="16" t="s">
        <v>10</v>
      </c>
      <c r="B58" s="31">
        <v>46146</v>
      </c>
      <c r="C58" s="2"/>
      <c r="D58" s="34" t="s">
        <v>11</v>
      </c>
      <c r="E58" s="1"/>
      <c r="F58" s="8" t="s">
        <v>14</v>
      </c>
      <c r="G58" s="9">
        <v>8.7962962962962962E-4</v>
      </c>
      <c r="H58" s="14"/>
      <c r="I58" s="17">
        <v>1</v>
      </c>
      <c r="J58" s="39" t="s">
        <v>32</v>
      </c>
    </row>
    <row r="59" spans="1:10" x14ac:dyDescent="0.3">
      <c r="A59" s="16" t="s">
        <v>10</v>
      </c>
      <c r="B59" s="31">
        <v>46146</v>
      </c>
      <c r="C59" s="2"/>
      <c r="D59" s="34" t="s">
        <v>11</v>
      </c>
      <c r="E59" s="1"/>
      <c r="F59" s="8" t="s">
        <v>15</v>
      </c>
      <c r="G59" s="9">
        <v>8.9120370370370373E-4</v>
      </c>
      <c r="H59" s="14"/>
      <c r="I59" s="17">
        <v>1</v>
      </c>
      <c r="J59" s="39" t="s">
        <v>32</v>
      </c>
    </row>
    <row r="60" spans="1:10" x14ac:dyDescent="0.3">
      <c r="A60" s="16" t="s">
        <v>10</v>
      </c>
      <c r="B60" s="31">
        <v>46146</v>
      </c>
      <c r="C60" s="2"/>
      <c r="D60" s="34" t="s">
        <v>11</v>
      </c>
      <c r="E60" s="1"/>
      <c r="F60" s="8" t="s">
        <v>16</v>
      </c>
      <c r="G60" s="9">
        <v>1.5046296296296297E-4</v>
      </c>
      <c r="H60" s="14"/>
      <c r="I60" s="17">
        <v>1</v>
      </c>
      <c r="J60" s="39" t="s">
        <v>32</v>
      </c>
    </row>
    <row r="61" spans="1:10" x14ac:dyDescent="0.3">
      <c r="A61" s="16" t="s">
        <v>10</v>
      </c>
      <c r="B61" s="31">
        <v>46146</v>
      </c>
      <c r="C61" s="2"/>
      <c r="D61" s="34" t="s">
        <v>11</v>
      </c>
      <c r="E61" s="1"/>
      <c r="F61" s="8" t="s">
        <v>17</v>
      </c>
      <c r="G61" s="9">
        <v>1.3888888888888889E-3</v>
      </c>
      <c r="H61" s="14"/>
      <c r="I61" s="17">
        <v>1</v>
      </c>
      <c r="J61" s="39" t="s">
        <v>24</v>
      </c>
    </row>
    <row r="62" spans="1:10" ht="16.5" customHeight="1" x14ac:dyDescent="0.3">
      <c r="A62" s="16" t="s">
        <v>10</v>
      </c>
      <c r="B62" s="31">
        <v>46146</v>
      </c>
      <c r="C62" s="2"/>
      <c r="D62" s="34" t="s">
        <v>11</v>
      </c>
      <c r="E62" s="1"/>
      <c r="F62" s="8" t="s">
        <v>19</v>
      </c>
      <c r="G62" s="9">
        <v>5.9027777777777778E-4</v>
      </c>
      <c r="H62" s="14"/>
      <c r="I62" s="17">
        <v>1</v>
      </c>
      <c r="J62" s="39" t="s">
        <v>32</v>
      </c>
    </row>
    <row r="63" spans="1:10" x14ac:dyDescent="0.3">
      <c r="A63" s="16" t="s">
        <v>10</v>
      </c>
      <c r="B63" s="29">
        <v>46146</v>
      </c>
      <c r="C63" s="2"/>
      <c r="D63" s="34" t="s">
        <v>11</v>
      </c>
      <c r="E63" s="1"/>
      <c r="F63" s="8" t="s">
        <v>20</v>
      </c>
      <c r="G63" s="9">
        <v>7.0601851851851847E-4</v>
      </c>
      <c r="H63" s="14"/>
      <c r="I63" s="17">
        <v>1</v>
      </c>
      <c r="J63" s="39" t="s">
        <v>32</v>
      </c>
    </row>
    <row r="64" spans="1:10" x14ac:dyDescent="0.3">
      <c r="A64" s="16" t="s">
        <v>10</v>
      </c>
      <c r="B64" s="32">
        <v>46146</v>
      </c>
      <c r="C64" s="2"/>
      <c r="D64" s="34" t="s">
        <v>11</v>
      </c>
      <c r="E64" s="1"/>
      <c r="F64" s="8" t="s">
        <v>21</v>
      </c>
      <c r="G64" s="9">
        <v>1.1574074074074073E-3</v>
      </c>
      <c r="H64" s="14"/>
      <c r="I64" s="17">
        <v>1</v>
      </c>
      <c r="J64" s="39" t="s">
        <v>32</v>
      </c>
    </row>
    <row r="65" spans="1:10" x14ac:dyDescent="0.3">
      <c r="A65" s="16" t="s">
        <v>10</v>
      </c>
      <c r="B65" s="31">
        <v>46146</v>
      </c>
      <c r="C65" s="2"/>
      <c r="D65" s="34" t="s">
        <v>11</v>
      </c>
      <c r="E65" s="1"/>
      <c r="F65" s="8" t="s">
        <v>22</v>
      </c>
      <c r="G65" s="9">
        <v>2.9513888888888888E-3</v>
      </c>
      <c r="H65" s="14"/>
      <c r="I65" s="17">
        <v>2</v>
      </c>
      <c r="J65" s="39" t="s">
        <v>13</v>
      </c>
    </row>
    <row r="66" spans="1:10" x14ac:dyDescent="0.3">
      <c r="A66" s="16" t="s">
        <v>10</v>
      </c>
      <c r="B66" s="31">
        <v>46146</v>
      </c>
      <c r="C66" s="2"/>
      <c r="D66" s="34" t="s">
        <v>11</v>
      </c>
      <c r="E66" s="1"/>
      <c r="F66" s="8" t="s">
        <v>23</v>
      </c>
      <c r="G66" s="9">
        <v>1.4351851851851852E-3</v>
      </c>
      <c r="H66" s="14"/>
      <c r="I66" s="17">
        <v>1</v>
      </c>
      <c r="J66" s="39" t="s">
        <v>18</v>
      </c>
    </row>
    <row r="67" spans="1:10" x14ac:dyDescent="0.3">
      <c r="A67" s="16" t="s">
        <v>10</v>
      </c>
      <c r="B67" s="31">
        <v>46146</v>
      </c>
      <c r="C67" s="2"/>
      <c r="D67" s="34" t="s">
        <v>11</v>
      </c>
      <c r="E67" s="1"/>
      <c r="F67" s="8" t="s">
        <v>25</v>
      </c>
      <c r="G67" s="9">
        <v>1.8518518518518518E-4</v>
      </c>
      <c r="H67" s="14"/>
      <c r="I67" s="17">
        <v>2</v>
      </c>
      <c r="J67" s="39" t="s">
        <v>13</v>
      </c>
    </row>
    <row r="68" spans="1:10" x14ac:dyDescent="0.3">
      <c r="A68" s="16" t="s">
        <v>10</v>
      </c>
      <c r="B68" s="31">
        <v>46146</v>
      </c>
      <c r="C68" s="2"/>
      <c r="D68" s="34" t="s">
        <v>11</v>
      </c>
      <c r="E68" s="1"/>
      <c r="F68" s="8" t="s">
        <v>26</v>
      </c>
      <c r="G68" s="9">
        <v>1.1342592592592593E-3</v>
      </c>
      <c r="H68" s="14"/>
      <c r="I68" s="17">
        <v>2</v>
      </c>
      <c r="J68" s="39" t="s">
        <v>13</v>
      </c>
    </row>
    <row r="69" spans="1:10" x14ac:dyDescent="0.3">
      <c r="A69" s="16" t="s">
        <v>10</v>
      </c>
      <c r="B69" s="31">
        <v>46146</v>
      </c>
      <c r="C69" s="2"/>
      <c r="D69" s="34" t="s">
        <v>11</v>
      </c>
      <c r="E69" s="1"/>
      <c r="F69" s="8" t="s">
        <v>27</v>
      </c>
      <c r="G69" s="9">
        <v>1.7824074074074075E-3</v>
      </c>
      <c r="H69" s="14"/>
      <c r="I69" s="17">
        <v>2</v>
      </c>
      <c r="J69" s="39" t="s">
        <v>13</v>
      </c>
    </row>
    <row r="70" spans="1:10" x14ac:dyDescent="0.3">
      <c r="A70" s="16" t="s">
        <v>10</v>
      </c>
      <c r="B70" s="31">
        <v>46146</v>
      </c>
      <c r="C70" s="2"/>
      <c r="D70" s="34" t="s">
        <v>11</v>
      </c>
      <c r="E70" s="1"/>
      <c r="F70" s="8" t="s">
        <v>28</v>
      </c>
      <c r="G70" s="9">
        <v>2.4305555555555555E-4</v>
      </c>
      <c r="H70" s="14"/>
      <c r="I70" s="17">
        <v>2</v>
      </c>
      <c r="J70" s="39" t="s">
        <v>13</v>
      </c>
    </row>
    <row r="71" spans="1:10" x14ac:dyDescent="0.3">
      <c r="A71" s="16" t="s">
        <v>10</v>
      </c>
      <c r="B71" s="31">
        <v>46146</v>
      </c>
      <c r="C71" s="2"/>
      <c r="D71" s="34" t="s">
        <v>11</v>
      </c>
      <c r="E71" s="1"/>
      <c r="F71" s="8" t="s">
        <v>29</v>
      </c>
      <c r="G71" s="9">
        <v>1.8518518518518518E-4</v>
      </c>
      <c r="H71" s="14"/>
      <c r="I71" s="17">
        <v>2</v>
      </c>
      <c r="J71" s="39" t="s">
        <v>13</v>
      </c>
    </row>
    <row r="72" spans="1:10" x14ac:dyDescent="0.3">
      <c r="A72" s="16" t="s">
        <v>10</v>
      </c>
      <c r="B72" s="31">
        <v>46146</v>
      </c>
      <c r="C72" s="2"/>
      <c r="D72" s="34" t="s">
        <v>11</v>
      </c>
      <c r="E72" s="1"/>
      <c r="F72" s="8" t="s">
        <v>30</v>
      </c>
      <c r="G72" s="9">
        <v>1.3773148148148147E-3</v>
      </c>
      <c r="H72" s="14"/>
      <c r="I72" s="17">
        <v>1</v>
      </c>
      <c r="J72" s="39" t="s">
        <v>18</v>
      </c>
    </row>
    <row r="73" spans="1:10" x14ac:dyDescent="0.3">
      <c r="A73" s="16" t="s">
        <v>10</v>
      </c>
      <c r="B73" s="31">
        <v>46146</v>
      </c>
      <c r="C73" s="2"/>
      <c r="D73" s="34" t="s">
        <v>11</v>
      </c>
      <c r="E73" s="1"/>
      <c r="F73" s="8" t="s">
        <v>31</v>
      </c>
      <c r="G73" s="9">
        <v>8.7962962962962962E-4</v>
      </c>
      <c r="H73" s="14"/>
      <c r="I73" s="17">
        <v>1</v>
      </c>
      <c r="J73" s="39" t="s">
        <v>32</v>
      </c>
    </row>
    <row r="74" spans="1:10" x14ac:dyDescent="0.3">
      <c r="A74" s="16" t="s">
        <v>10</v>
      </c>
      <c r="B74" s="31">
        <v>46146</v>
      </c>
      <c r="C74" s="2"/>
      <c r="D74" s="34" t="s">
        <v>11</v>
      </c>
      <c r="E74" s="1"/>
      <c r="F74" s="8" t="s">
        <v>33</v>
      </c>
      <c r="G74" s="9">
        <v>1.9675925925925926E-4</v>
      </c>
      <c r="H74" s="14"/>
      <c r="I74" s="17">
        <v>2</v>
      </c>
      <c r="J74" s="39" t="s">
        <v>13</v>
      </c>
    </row>
    <row r="75" spans="1:10" x14ac:dyDescent="0.3">
      <c r="A75" s="16" t="s">
        <v>10</v>
      </c>
      <c r="B75" s="31">
        <v>46146</v>
      </c>
      <c r="C75" s="2"/>
      <c r="D75" s="34" t="s">
        <v>11</v>
      </c>
      <c r="E75" s="1"/>
      <c r="F75" s="8" t="s">
        <v>34</v>
      </c>
      <c r="G75" s="9">
        <v>1.5046296296296296E-3</v>
      </c>
      <c r="H75" s="14"/>
      <c r="I75" s="17">
        <v>2</v>
      </c>
      <c r="J75" s="39" t="s">
        <v>13</v>
      </c>
    </row>
    <row r="76" spans="1:10" x14ac:dyDescent="0.3">
      <c r="A76" s="16" t="s">
        <v>10</v>
      </c>
      <c r="B76" s="31">
        <v>46146</v>
      </c>
      <c r="C76" s="2"/>
      <c r="D76" s="34" t="s">
        <v>11</v>
      </c>
      <c r="E76" s="1"/>
      <c r="F76" s="8" t="s">
        <v>35</v>
      </c>
      <c r="G76" s="9">
        <v>4.5370370370370373E-3</v>
      </c>
      <c r="H76" s="14"/>
      <c r="I76" s="17">
        <v>1</v>
      </c>
      <c r="J76" s="39" t="s">
        <v>32</v>
      </c>
    </row>
    <row r="77" spans="1:10" x14ac:dyDescent="0.3">
      <c r="A77" s="16" t="s">
        <v>10</v>
      </c>
      <c r="B77" s="31">
        <v>46146</v>
      </c>
      <c r="C77" s="2"/>
      <c r="D77" s="34" t="s">
        <v>11</v>
      </c>
      <c r="E77" s="1"/>
      <c r="F77" s="8" t="s">
        <v>36</v>
      </c>
      <c r="G77" s="9">
        <v>1.5046296296296296E-3</v>
      </c>
      <c r="H77" s="14"/>
      <c r="I77" s="17">
        <v>1</v>
      </c>
      <c r="J77" s="39" t="s">
        <v>32</v>
      </c>
    </row>
    <row r="78" spans="1:10" x14ac:dyDescent="0.3">
      <c r="A78" s="16" t="s">
        <v>10</v>
      </c>
      <c r="B78" s="31">
        <v>46146</v>
      </c>
      <c r="C78" s="2"/>
      <c r="D78" s="34" t="s">
        <v>11</v>
      </c>
      <c r="E78" s="1"/>
      <c r="F78" s="8" t="s">
        <v>37</v>
      </c>
      <c r="G78" s="9">
        <v>4.6296296296296298E-4</v>
      </c>
      <c r="H78" s="14"/>
      <c r="I78" s="17">
        <v>1</v>
      </c>
      <c r="J78" s="39" t="s">
        <v>18</v>
      </c>
    </row>
    <row r="79" spans="1:10" x14ac:dyDescent="0.3">
      <c r="A79" s="28" t="s">
        <v>10</v>
      </c>
      <c r="B79" s="45">
        <v>46146</v>
      </c>
      <c r="C79" s="5"/>
      <c r="D79" s="34" t="s">
        <v>11</v>
      </c>
      <c r="E79" s="7"/>
      <c r="F79" s="8" t="s">
        <v>38</v>
      </c>
      <c r="G79" s="12">
        <v>2.4305555555555555E-4</v>
      </c>
      <c r="H79" s="15"/>
      <c r="I79" s="17">
        <v>2</v>
      </c>
      <c r="J79" s="42" t="s">
        <v>13</v>
      </c>
    </row>
    <row r="80" spans="1:10" x14ac:dyDescent="0.3">
      <c r="A80" s="16" t="s">
        <v>10</v>
      </c>
      <c r="B80" s="30">
        <v>46147</v>
      </c>
      <c r="C80" s="3"/>
      <c r="D80" s="20" t="s">
        <v>59</v>
      </c>
      <c r="E80" s="6"/>
      <c r="F80" s="10" t="s">
        <v>40</v>
      </c>
      <c r="G80" s="11">
        <v>2.3148148148148149E-4</v>
      </c>
      <c r="H80" s="13">
        <f>SUM(G80:G94)</f>
        <v>4.0740740740740737E-3</v>
      </c>
      <c r="I80" s="21">
        <v>1</v>
      </c>
      <c r="J80" s="39" t="s">
        <v>32</v>
      </c>
    </row>
    <row r="81" spans="1:10" x14ac:dyDescent="0.3">
      <c r="A81" s="16" t="s">
        <v>10</v>
      </c>
      <c r="B81" s="31">
        <v>46147</v>
      </c>
      <c r="C81" s="2"/>
      <c r="D81" s="36" t="s">
        <v>59</v>
      </c>
      <c r="E81" s="1"/>
      <c r="F81" s="8" t="s">
        <v>42</v>
      </c>
      <c r="G81" s="9">
        <v>4.9768518518518521E-4</v>
      </c>
      <c r="H81" s="14"/>
      <c r="I81" s="17">
        <v>1</v>
      </c>
      <c r="J81" s="39" t="s">
        <v>32</v>
      </c>
    </row>
    <row r="82" spans="1:10" x14ac:dyDescent="0.3">
      <c r="A82" s="16" t="s">
        <v>10</v>
      </c>
      <c r="B82" s="31">
        <v>46147</v>
      </c>
      <c r="C82" s="2"/>
      <c r="D82" s="36" t="s">
        <v>59</v>
      </c>
      <c r="E82" s="1"/>
      <c r="F82" s="8" t="s">
        <v>15</v>
      </c>
      <c r="G82" s="9">
        <v>4.9768518518518521E-4</v>
      </c>
      <c r="H82" s="14"/>
      <c r="I82" s="17">
        <v>2</v>
      </c>
      <c r="J82" s="39" t="s">
        <v>60</v>
      </c>
    </row>
    <row r="83" spans="1:10" x14ac:dyDescent="0.3">
      <c r="A83" s="16" t="s">
        <v>10</v>
      </c>
      <c r="B83" s="31">
        <v>46147</v>
      </c>
      <c r="C83" s="2"/>
      <c r="D83" s="36" t="s">
        <v>59</v>
      </c>
      <c r="E83" s="1"/>
      <c r="F83" s="8" t="s">
        <v>16</v>
      </c>
      <c r="G83" s="9">
        <v>1.5046296296296297E-4</v>
      </c>
      <c r="H83" s="14"/>
      <c r="I83" s="17">
        <v>1</v>
      </c>
      <c r="J83" s="39" t="s">
        <v>32</v>
      </c>
    </row>
    <row r="84" spans="1:10" x14ac:dyDescent="0.3">
      <c r="A84" s="16" t="s">
        <v>10</v>
      </c>
      <c r="B84" s="31">
        <v>46147</v>
      </c>
      <c r="C84" s="2"/>
      <c r="D84" s="36" t="s">
        <v>59</v>
      </c>
      <c r="E84" s="1"/>
      <c r="F84" s="8" t="s">
        <v>44</v>
      </c>
      <c r="G84" s="9">
        <v>4.0509259259259258E-4</v>
      </c>
      <c r="H84" s="14"/>
      <c r="I84" s="17">
        <v>1</v>
      </c>
      <c r="J84" s="39" t="s">
        <v>61</v>
      </c>
    </row>
    <row r="85" spans="1:10" x14ac:dyDescent="0.3">
      <c r="A85" s="16" t="s">
        <v>10</v>
      </c>
      <c r="B85" s="31">
        <v>46147</v>
      </c>
      <c r="C85" s="2"/>
      <c r="D85" s="36" t="s">
        <v>59</v>
      </c>
      <c r="E85" s="1"/>
      <c r="F85" s="8" t="s">
        <v>46</v>
      </c>
      <c r="G85" s="9">
        <v>1.7361111111111112E-4</v>
      </c>
      <c r="H85" s="14"/>
      <c r="I85" s="17">
        <v>2</v>
      </c>
      <c r="J85" s="39" t="s">
        <v>60</v>
      </c>
    </row>
    <row r="86" spans="1:10" x14ac:dyDescent="0.3">
      <c r="A86" s="16" t="s">
        <v>10</v>
      </c>
      <c r="B86" s="31">
        <v>46147</v>
      </c>
      <c r="C86" s="2"/>
      <c r="D86" s="36" t="s">
        <v>59</v>
      </c>
      <c r="E86" s="1"/>
      <c r="F86" s="8" t="s">
        <v>47</v>
      </c>
      <c r="G86" s="9">
        <v>1.273148148148148E-4</v>
      </c>
      <c r="H86" s="14"/>
      <c r="I86" s="17">
        <v>2</v>
      </c>
      <c r="J86" s="39" t="s">
        <v>60</v>
      </c>
    </row>
    <row r="87" spans="1:10" x14ac:dyDescent="0.3">
      <c r="A87" s="16" t="s">
        <v>10</v>
      </c>
      <c r="B87" s="31">
        <v>46147</v>
      </c>
      <c r="C87" s="2"/>
      <c r="D87" s="36" t="s">
        <v>59</v>
      </c>
      <c r="E87" s="1"/>
      <c r="F87" s="8" t="s">
        <v>48</v>
      </c>
      <c r="G87" s="9">
        <v>2.7777777777777778E-4</v>
      </c>
      <c r="H87" s="14"/>
      <c r="I87" s="17">
        <v>2</v>
      </c>
      <c r="J87" s="47" t="s">
        <v>60</v>
      </c>
    </row>
    <row r="88" spans="1:10" x14ac:dyDescent="0.3">
      <c r="A88" s="16" t="s">
        <v>10</v>
      </c>
      <c r="B88" s="31">
        <v>46147</v>
      </c>
      <c r="C88" s="2"/>
      <c r="D88" s="46" t="s">
        <v>59</v>
      </c>
      <c r="E88" s="1"/>
      <c r="F88" s="8" t="s">
        <v>62</v>
      </c>
      <c r="G88" s="9">
        <v>1.8518518518518518E-4</v>
      </c>
      <c r="H88" s="14"/>
      <c r="I88" s="17">
        <v>2</v>
      </c>
      <c r="J88" s="39" t="s">
        <v>60</v>
      </c>
    </row>
    <row r="89" spans="1:10" x14ac:dyDescent="0.3">
      <c r="A89" s="16" t="s">
        <v>10</v>
      </c>
      <c r="B89" s="31">
        <v>46147</v>
      </c>
      <c r="C89" s="2"/>
      <c r="D89" s="46" t="s">
        <v>59</v>
      </c>
      <c r="E89" s="1"/>
      <c r="F89" s="8" t="s">
        <v>63</v>
      </c>
      <c r="G89" s="9">
        <v>8.1018518518518516E-5</v>
      </c>
      <c r="H89" s="14"/>
      <c r="I89" s="17">
        <v>2</v>
      </c>
      <c r="J89" s="39" t="s">
        <v>60</v>
      </c>
    </row>
    <row r="90" spans="1:10" x14ac:dyDescent="0.3">
      <c r="A90" s="16" t="s">
        <v>10</v>
      </c>
      <c r="B90" s="31">
        <v>46147</v>
      </c>
      <c r="C90" s="2"/>
      <c r="D90" s="46" t="s">
        <v>59</v>
      </c>
      <c r="E90" s="1"/>
      <c r="F90" s="8" t="s">
        <v>64</v>
      </c>
      <c r="G90" s="9">
        <v>1.9675925925925926E-4</v>
      </c>
      <c r="H90" s="14"/>
      <c r="I90" s="17">
        <v>1</v>
      </c>
      <c r="J90" s="39" t="s">
        <v>61</v>
      </c>
    </row>
    <row r="91" spans="1:10" x14ac:dyDescent="0.3">
      <c r="A91" s="16" t="s">
        <v>10</v>
      </c>
      <c r="B91" s="31">
        <v>46147</v>
      </c>
      <c r="C91" s="2"/>
      <c r="D91" s="46" t="s">
        <v>59</v>
      </c>
      <c r="E91" s="1"/>
      <c r="F91" s="8" t="s">
        <v>65</v>
      </c>
      <c r="G91" s="9">
        <v>2.7777777777777778E-4</v>
      </c>
      <c r="H91" s="14"/>
      <c r="I91" s="17">
        <v>1</v>
      </c>
      <c r="J91" s="39" t="s">
        <v>32</v>
      </c>
    </row>
    <row r="92" spans="1:10" x14ac:dyDescent="0.3">
      <c r="A92" s="16" t="s">
        <v>10</v>
      </c>
      <c r="B92" s="31">
        <v>46147</v>
      </c>
      <c r="C92" s="2"/>
      <c r="D92" s="36" t="s">
        <v>59</v>
      </c>
      <c r="E92" s="1"/>
      <c r="F92" s="8" t="s">
        <v>66</v>
      </c>
      <c r="G92" s="9">
        <v>6.4814814814814813E-4</v>
      </c>
      <c r="H92" s="14"/>
      <c r="I92" s="17">
        <v>1</v>
      </c>
      <c r="J92" s="39" t="s">
        <v>61</v>
      </c>
    </row>
    <row r="93" spans="1:10" x14ac:dyDescent="0.3">
      <c r="A93" s="16" t="s">
        <v>10</v>
      </c>
      <c r="B93" s="31">
        <v>46147</v>
      </c>
      <c r="C93" s="2"/>
      <c r="D93" s="36" t="s">
        <v>59</v>
      </c>
      <c r="E93" s="1"/>
      <c r="F93" s="8" t="s">
        <v>67</v>
      </c>
      <c r="G93" s="9">
        <v>1.9675925925925926E-4</v>
      </c>
      <c r="H93" s="14"/>
      <c r="I93" s="17">
        <v>1</v>
      </c>
      <c r="J93" s="41" t="s">
        <v>61</v>
      </c>
    </row>
    <row r="94" spans="1:10" ht="15" thickBot="1" x14ac:dyDescent="0.35">
      <c r="A94" s="28" t="s">
        <v>10</v>
      </c>
      <c r="B94" s="49">
        <v>46147</v>
      </c>
      <c r="C94" s="50"/>
      <c r="D94" s="38" t="s">
        <v>59</v>
      </c>
      <c r="E94" s="51"/>
      <c r="F94" s="52" t="s">
        <v>68</v>
      </c>
      <c r="G94" s="53">
        <v>1.273148148148148E-4</v>
      </c>
      <c r="H94" s="54"/>
      <c r="I94" s="55">
        <v>2</v>
      </c>
      <c r="J94" s="42" t="s">
        <v>60</v>
      </c>
    </row>
    <row r="95" spans="1:10" x14ac:dyDescent="0.3">
      <c r="A95" s="16" t="s">
        <v>10</v>
      </c>
      <c r="B95" s="30">
        <v>46147</v>
      </c>
      <c r="C95" s="3"/>
      <c r="D95" s="20" t="s">
        <v>59</v>
      </c>
      <c r="E95" s="6"/>
      <c r="F95" s="10" t="s">
        <v>40</v>
      </c>
      <c r="G95" s="11">
        <v>1.9675925925925926E-4</v>
      </c>
      <c r="H95" s="13">
        <f>SUM(G95:G109)</f>
        <v>3.7152777777777778E-3</v>
      </c>
      <c r="I95" s="21">
        <v>2</v>
      </c>
      <c r="J95" s="39" t="s">
        <v>60</v>
      </c>
    </row>
    <row r="96" spans="1:10" x14ac:dyDescent="0.3">
      <c r="A96" s="16" t="s">
        <v>10</v>
      </c>
      <c r="B96" s="31">
        <v>46147</v>
      </c>
      <c r="C96" s="2"/>
      <c r="D96" s="46" t="s">
        <v>59</v>
      </c>
      <c r="E96" s="1"/>
      <c r="F96" s="8" t="s">
        <v>42</v>
      </c>
      <c r="G96" s="9">
        <v>1.6203703703703703E-4</v>
      </c>
      <c r="H96" s="14"/>
      <c r="I96" s="17">
        <v>2</v>
      </c>
      <c r="J96" s="39" t="s">
        <v>60</v>
      </c>
    </row>
    <row r="97" spans="1:10" x14ac:dyDescent="0.3">
      <c r="A97" s="16" t="s">
        <v>10</v>
      </c>
      <c r="B97" s="31">
        <v>46147</v>
      </c>
      <c r="C97" s="2"/>
      <c r="D97" s="46" t="s">
        <v>59</v>
      </c>
      <c r="E97" s="1"/>
      <c r="F97" s="8" t="s">
        <v>15</v>
      </c>
      <c r="G97" s="9">
        <v>4.5138888888888887E-4</v>
      </c>
      <c r="H97" s="14"/>
      <c r="I97" s="17">
        <v>1</v>
      </c>
      <c r="J97" s="39" t="s">
        <v>32</v>
      </c>
    </row>
    <row r="98" spans="1:10" x14ac:dyDescent="0.3">
      <c r="A98" s="16" t="s">
        <v>10</v>
      </c>
      <c r="B98" s="31">
        <v>46147</v>
      </c>
      <c r="C98" s="2"/>
      <c r="D98" s="46" t="s">
        <v>59</v>
      </c>
      <c r="E98" s="1"/>
      <c r="F98" s="8" t="s">
        <v>16</v>
      </c>
      <c r="G98" s="9">
        <v>2.4305555555555555E-4</v>
      </c>
      <c r="H98" s="14"/>
      <c r="I98" s="17">
        <v>1</v>
      </c>
      <c r="J98" s="39" t="s">
        <v>32</v>
      </c>
    </row>
    <row r="99" spans="1:10" x14ac:dyDescent="0.3">
      <c r="A99" s="16" t="s">
        <v>10</v>
      </c>
      <c r="B99" s="31">
        <v>46147</v>
      </c>
      <c r="C99" s="2"/>
      <c r="D99" s="46" t="s">
        <v>59</v>
      </c>
      <c r="E99" s="1"/>
      <c r="F99" s="8" t="s">
        <v>44</v>
      </c>
      <c r="G99" s="9">
        <v>1.9675925925925926E-4</v>
      </c>
      <c r="H99" s="14"/>
      <c r="I99" s="17">
        <v>1</v>
      </c>
      <c r="J99" s="39" t="s">
        <v>61</v>
      </c>
    </row>
    <row r="100" spans="1:10" x14ac:dyDescent="0.3">
      <c r="A100" s="16" t="s">
        <v>10</v>
      </c>
      <c r="B100" s="31">
        <v>46147</v>
      </c>
      <c r="C100" s="2"/>
      <c r="D100" s="46" t="s">
        <v>59</v>
      </c>
      <c r="E100" s="1"/>
      <c r="F100" s="8" t="s">
        <v>46</v>
      </c>
      <c r="G100" s="9">
        <v>1.3888888888888889E-4</v>
      </c>
      <c r="H100" s="14"/>
      <c r="I100" s="17">
        <v>2</v>
      </c>
      <c r="J100" s="39" t="s">
        <v>60</v>
      </c>
    </row>
    <row r="101" spans="1:10" x14ac:dyDescent="0.3">
      <c r="A101" s="16" t="s">
        <v>10</v>
      </c>
      <c r="B101" s="31">
        <v>46147</v>
      </c>
      <c r="C101" s="2"/>
      <c r="D101" s="46" t="s">
        <v>59</v>
      </c>
      <c r="E101" s="1"/>
      <c r="F101" s="8" t="s">
        <v>47</v>
      </c>
      <c r="G101" s="9">
        <v>1.6203703703703703E-4</v>
      </c>
      <c r="H101" s="14"/>
      <c r="I101" s="17">
        <v>2</v>
      </c>
      <c r="J101" s="39" t="s">
        <v>60</v>
      </c>
    </row>
    <row r="102" spans="1:10" x14ac:dyDescent="0.3">
      <c r="A102" s="16" t="s">
        <v>10</v>
      </c>
      <c r="B102" s="31">
        <v>46147</v>
      </c>
      <c r="C102" s="2"/>
      <c r="D102" s="46" t="s">
        <v>59</v>
      </c>
      <c r="E102" s="1"/>
      <c r="F102" s="8" t="s">
        <v>48</v>
      </c>
      <c r="G102" s="9">
        <v>4.2824074074074075E-4</v>
      </c>
      <c r="H102" s="14"/>
      <c r="I102" s="17">
        <v>2</v>
      </c>
      <c r="J102" s="39" t="s">
        <v>60</v>
      </c>
    </row>
    <row r="103" spans="1:10" x14ac:dyDescent="0.3">
      <c r="A103" s="16" t="s">
        <v>10</v>
      </c>
      <c r="B103" s="31">
        <v>46147</v>
      </c>
      <c r="C103" s="2"/>
      <c r="D103" s="46" t="s">
        <v>59</v>
      </c>
      <c r="E103" s="1"/>
      <c r="F103" s="8" t="s">
        <v>62</v>
      </c>
      <c r="G103" s="9">
        <v>3.5879629629629629E-4</v>
      </c>
      <c r="H103" s="14"/>
      <c r="I103" s="17">
        <v>2</v>
      </c>
      <c r="J103" s="39" t="s">
        <v>60</v>
      </c>
    </row>
    <row r="104" spans="1:10" x14ac:dyDescent="0.3">
      <c r="A104" s="16" t="s">
        <v>10</v>
      </c>
      <c r="B104" s="31">
        <v>46147</v>
      </c>
      <c r="C104" s="2"/>
      <c r="D104" s="46" t="s">
        <v>59</v>
      </c>
      <c r="E104" s="1"/>
      <c r="F104" s="8" t="s">
        <v>63</v>
      </c>
      <c r="G104" s="9">
        <v>5.7870370370370373E-5</v>
      </c>
      <c r="H104" s="14"/>
      <c r="I104" s="17">
        <v>2</v>
      </c>
      <c r="J104" s="39" t="s">
        <v>60</v>
      </c>
    </row>
    <row r="105" spans="1:10" x14ac:dyDescent="0.3">
      <c r="A105" s="16" t="s">
        <v>10</v>
      </c>
      <c r="B105" s="31">
        <v>46147</v>
      </c>
      <c r="C105" s="2"/>
      <c r="D105" s="46" t="s">
        <v>59</v>
      </c>
      <c r="E105" s="1"/>
      <c r="F105" s="8" t="s">
        <v>64</v>
      </c>
      <c r="G105" s="9">
        <v>1.8518518518518518E-4</v>
      </c>
      <c r="H105" s="14"/>
      <c r="I105" s="17">
        <v>1</v>
      </c>
      <c r="J105" s="39" t="s">
        <v>61</v>
      </c>
    </row>
    <row r="106" spans="1:10" x14ac:dyDescent="0.3">
      <c r="A106" s="16" t="s">
        <v>10</v>
      </c>
      <c r="B106" s="31">
        <v>46147</v>
      </c>
      <c r="C106" s="2"/>
      <c r="D106" s="46" t="s">
        <v>59</v>
      </c>
      <c r="E106" s="1"/>
      <c r="F106" s="8" t="s">
        <v>65</v>
      </c>
      <c r="G106" s="9">
        <v>2.8935185185185184E-4</v>
      </c>
      <c r="H106" s="14"/>
      <c r="I106" s="17">
        <v>1</v>
      </c>
      <c r="J106" s="39" t="s">
        <v>32</v>
      </c>
    </row>
    <row r="107" spans="1:10" x14ac:dyDescent="0.3">
      <c r="A107" s="16" t="s">
        <v>10</v>
      </c>
      <c r="B107" s="31">
        <v>46147</v>
      </c>
      <c r="C107" s="2"/>
      <c r="D107" s="46" t="s">
        <v>59</v>
      </c>
      <c r="E107" s="1"/>
      <c r="F107" s="8" t="s">
        <v>66</v>
      </c>
      <c r="G107" s="9">
        <v>5.3240740740740744E-4</v>
      </c>
      <c r="H107" s="14"/>
      <c r="I107" s="17">
        <v>1</v>
      </c>
      <c r="J107" s="39" t="s">
        <v>61</v>
      </c>
    </row>
    <row r="108" spans="1:10" x14ac:dyDescent="0.3">
      <c r="A108" s="16" t="s">
        <v>10</v>
      </c>
      <c r="B108" s="31">
        <v>46147</v>
      </c>
      <c r="C108" s="2"/>
      <c r="D108" s="46" t="s">
        <v>59</v>
      </c>
      <c r="E108" s="1"/>
      <c r="F108" s="8" t="s">
        <v>67</v>
      </c>
      <c r="G108" s="9">
        <v>1.0416666666666667E-4</v>
      </c>
      <c r="H108" s="14"/>
      <c r="I108" s="17">
        <v>1</v>
      </c>
      <c r="J108" s="47" t="s">
        <v>61</v>
      </c>
    </row>
    <row r="109" spans="1:10" ht="15" thickBot="1" x14ac:dyDescent="0.35">
      <c r="A109" s="28" t="s">
        <v>10</v>
      </c>
      <c r="B109" s="49">
        <v>46147</v>
      </c>
      <c r="C109" s="50"/>
      <c r="D109" s="56" t="s">
        <v>59</v>
      </c>
      <c r="E109" s="51"/>
      <c r="F109" s="52" t="s">
        <v>68</v>
      </c>
      <c r="G109" s="25">
        <v>2.0833333333333335E-4</v>
      </c>
      <c r="H109" s="54"/>
      <c r="I109" s="55">
        <v>2</v>
      </c>
      <c r="J109" s="42" t="s">
        <v>60</v>
      </c>
    </row>
    <row r="110" spans="1:10" x14ac:dyDescent="0.3">
      <c r="A110" s="35" t="s">
        <v>10</v>
      </c>
      <c r="B110" s="30">
        <v>46147</v>
      </c>
      <c r="C110" s="3"/>
      <c r="D110" s="20" t="s">
        <v>69</v>
      </c>
      <c r="E110" s="6"/>
      <c r="F110" s="59" t="s">
        <v>40</v>
      </c>
      <c r="G110" s="61">
        <v>8.1018518518518516E-5</v>
      </c>
      <c r="H110" s="60">
        <f>SUM(G110:G122)</f>
        <v>4.8842592592592601E-3</v>
      </c>
      <c r="I110" s="21">
        <v>1</v>
      </c>
      <c r="J110" s="41" t="s">
        <v>45</v>
      </c>
    </row>
    <row r="111" spans="1:10" x14ac:dyDescent="0.3">
      <c r="A111" s="16" t="s">
        <v>10</v>
      </c>
      <c r="B111" s="31">
        <v>46147</v>
      </c>
      <c r="C111" s="17"/>
      <c r="D111" s="36" t="s">
        <v>69</v>
      </c>
      <c r="E111" s="37"/>
      <c r="F111" s="8" t="s">
        <v>42</v>
      </c>
      <c r="G111" s="48">
        <v>5.2083333333333333E-4</v>
      </c>
      <c r="H111" s="14"/>
      <c r="I111" s="17">
        <v>2</v>
      </c>
      <c r="J111" s="41" t="s">
        <v>41</v>
      </c>
    </row>
    <row r="112" spans="1:10" x14ac:dyDescent="0.3">
      <c r="A112" s="16" t="s">
        <v>10</v>
      </c>
      <c r="B112" s="31">
        <v>46147</v>
      </c>
      <c r="C112" s="17"/>
      <c r="D112" s="36" t="s">
        <v>69</v>
      </c>
      <c r="E112" s="37"/>
      <c r="F112" s="8" t="s">
        <v>15</v>
      </c>
      <c r="G112" s="9">
        <v>2.7777777777777778E-4</v>
      </c>
      <c r="H112" s="14"/>
      <c r="I112" s="17">
        <v>1</v>
      </c>
      <c r="J112" s="41" t="s">
        <v>45</v>
      </c>
    </row>
    <row r="113" spans="1:10" x14ac:dyDescent="0.3">
      <c r="A113" s="16" t="s">
        <v>10</v>
      </c>
      <c r="B113" s="31">
        <v>46147</v>
      </c>
      <c r="C113" s="17"/>
      <c r="D113" s="36" t="s">
        <v>69</v>
      </c>
      <c r="E113" s="37"/>
      <c r="F113" s="8" t="s">
        <v>16</v>
      </c>
      <c r="G113" s="9">
        <v>6.4814814814814813E-4</v>
      </c>
      <c r="H113" s="14"/>
      <c r="I113" s="17">
        <v>1</v>
      </c>
      <c r="J113" s="39" t="s">
        <v>43</v>
      </c>
    </row>
    <row r="114" spans="1:10" x14ac:dyDescent="0.3">
      <c r="A114" s="16" t="s">
        <v>10</v>
      </c>
      <c r="B114" s="31">
        <v>46147</v>
      </c>
      <c r="C114" s="17"/>
      <c r="D114" s="36" t="s">
        <v>69</v>
      </c>
      <c r="E114" s="37"/>
      <c r="F114" s="8" t="s">
        <v>44</v>
      </c>
      <c r="G114" s="9">
        <v>2.199074074074074E-4</v>
      </c>
      <c r="H114" s="14"/>
      <c r="I114" s="17">
        <v>2</v>
      </c>
      <c r="J114" s="39" t="s">
        <v>41</v>
      </c>
    </row>
    <row r="115" spans="1:10" x14ac:dyDescent="0.3">
      <c r="A115" s="16" t="s">
        <v>10</v>
      </c>
      <c r="B115" s="31">
        <v>46147</v>
      </c>
      <c r="C115" s="17"/>
      <c r="D115" s="36" t="s">
        <v>69</v>
      </c>
      <c r="E115" s="37"/>
      <c r="F115" s="8" t="s">
        <v>46</v>
      </c>
      <c r="G115" s="9">
        <v>2.3148148148148149E-4</v>
      </c>
      <c r="H115" s="14"/>
      <c r="I115" s="17">
        <v>2</v>
      </c>
      <c r="J115" s="39" t="s">
        <v>41</v>
      </c>
    </row>
    <row r="116" spans="1:10" x14ac:dyDescent="0.3">
      <c r="A116" s="16" t="s">
        <v>10</v>
      </c>
      <c r="B116" s="29">
        <v>46147</v>
      </c>
      <c r="C116" s="17"/>
      <c r="D116" s="36" t="s">
        <v>69</v>
      </c>
      <c r="E116" s="37"/>
      <c r="F116" s="8" t="s">
        <v>47</v>
      </c>
      <c r="G116" s="9">
        <v>6.134259259259259E-4</v>
      </c>
      <c r="H116" s="14"/>
      <c r="I116" s="17">
        <v>2</v>
      </c>
      <c r="J116" s="39" t="s">
        <v>41</v>
      </c>
    </row>
    <row r="117" spans="1:10" x14ac:dyDescent="0.3">
      <c r="A117" s="16" t="s">
        <v>10</v>
      </c>
      <c r="B117" s="32">
        <v>46147</v>
      </c>
      <c r="C117" s="17"/>
      <c r="D117" s="36" t="s">
        <v>69</v>
      </c>
      <c r="E117" s="37"/>
      <c r="F117" s="8" t="s">
        <v>48</v>
      </c>
      <c r="G117" s="9">
        <v>8.9120370370370373E-4</v>
      </c>
      <c r="H117" s="14"/>
      <c r="I117" s="17">
        <v>2</v>
      </c>
      <c r="J117" s="39" t="s">
        <v>41</v>
      </c>
    </row>
    <row r="118" spans="1:10" x14ac:dyDescent="0.3">
      <c r="A118" s="16" t="s">
        <v>10</v>
      </c>
      <c r="B118" s="32">
        <v>46147</v>
      </c>
      <c r="C118" s="17"/>
      <c r="D118" s="36" t="s">
        <v>69</v>
      </c>
      <c r="E118" s="37"/>
      <c r="F118" s="8" t="s">
        <v>62</v>
      </c>
      <c r="G118" s="9">
        <v>1.6203703703703703E-4</v>
      </c>
      <c r="H118" s="14"/>
      <c r="I118" s="17">
        <v>1</v>
      </c>
      <c r="J118" s="41" t="s">
        <v>45</v>
      </c>
    </row>
    <row r="119" spans="1:10" x14ac:dyDescent="0.3">
      <c r="A119" s="16" t="s">
        <v>10</v>
      </c>
      <c r="B119" s="32">
        <v>46147</v>
      </c>
      <c r="C119" s="17"/>
      <c r="D119" s="36" t="s">
        <v>69</v>
      </c>
      <c r="E119" s="37"/>
      <c r="F119" s="8" t="s">
        <v>63</v>
      </c>
      <c r="G119" s="9">
        <v>2.3148148148148149E-4</v>
      </c>
      <c r="H119" s="14"/>
      <c r="I119" s="17">
        <v>2</v>
      </c>
      <c r="J119" s="39" t="s">
        <v>41</v>
      </c>
    </row>
    <row r="120" spans="1:10" x14ac:dyDescent="0.3">
      <c r="A120" s="16" t="s">
        <v>10</v>
      </c>
      <c r="B120" s="32">
        <v>46147</v>
      </c>
      <c r="C120" s="17"/>
      <c r="D120" s="36" t="s">
        <v>69</v>
      </c>
      <c r="E120" s="37"/>
      <c r="F120" s="8" t="s">
        <v>64</v>
      </c>
      <c r="G120" s="9">
        <v>5.7870370370370367E-4</v>
      </c>
      <c r="H120" s="14"/>
      <c r="I120" s="17">
        <v>1</v>
      </c>
      <c r="J120" s="39" t="s">
        <v>43</v>
      </c>
    </row>
    <row r="121" spans="1:10" x14ac:dyDescent="0.3">
      <c r="A121" s="23" t="s">
        <v>10</v>
      </c>
      <c r="B121" s="32">
        <v>46147</v>
      </c>
      <c r="C121" s="18"/>
      <c r="D121" s="57" t="s">
        <v>69</v>
      </c>
      <c r="E121" s="19"/>
      <c r="F121" s="24" t="s">
        <v>70</v>
      </c>
      <c r="G121" s="25">
        <v>2.3148148148148149E-4</v>
      </c>
      <c r="H121" s="14"/>
      <c r="I121" s="18">
        <v>1</v>
      </c>
      <c r="J121" s="47" t="s">
        <v>43</v>
      </c>
    </row>
    <row r="122" spans="1:10" ht="15" thickBot="1" x14ac:dyDescent="0.35">
      <c r="A122" s="28" t="s">
        <v>10</v>
      </c>
      <c r="B122" s="49">
        <v>46147</v>
      </c>
      <c r="C122" s="55"/>
      <c r="D122" s="38" t="s">
        <v>69</v>
      </c>
      <c r="E122" s="58"/>
      <c r="F122" s="52" t="s">
        <v>71</v>
      </c>
      <c r="G122" s="53">
        <v>1.9675925925925926E-4</v>
      </c>
      <c r="H122" s="54"/>
      <c r="I122" s="55">
        <v>2</v>
      </c>
      <c r="J122" s="42" t="s">
        <v>41</v>
      </c>
    </row>
    <row r="123" spans="1:10" x14ac:dyDescent="0.3">
      <c r="A123" s="16" t="s">
        <v>10</v>
      </c>
      <c r="B123" s="4">
        <v>46147</v>
      </c>
      <c r="C123" s="2"/>
      <c r="D123" s="2" t="s">
        <v>69</v>
      </c>
      <c r="E123" s="1"/>
      <c r="F123" s="8" t="s">
        <v>40</v>
      </c>
      <c r="G123" s="9">
        <v>1.7361111111111112E-4</v>
      </c>
      <c r="H123" s="14">
        <f>SUM(G123:G135)</f>
        <v>5.5324074074074069E-3</v>
      </c>
      <c r="I123" s="44">
        <v>2</v>
      </c>
      <c r="J123" s="39" t="s">
        <v>41</v>
      </c>
    </row>
    <row r="124" spans="1:10" x14ac:dyDescent="0.3">
      <c r="A124" s="16" t="s">
        <v>10</v>
      </c>
      <c r="B124" s="4">
        <v>46147</v>
      </c>
      <c r="C124" s="2"/>
      <c r="D124" s="43" t="s">
        <v>69</v>
      </c>
      <c r="E124" s="1"/>
      <c r="F124" s="8" t="s">
        <v>42</v>
      </c>
      <c r="G124" s="9">
        <v>2.0833333333333335E-4</v>
      </c>
      <c r="H124" s="14"/>
      <c r="I124" s="44">
        <v>2</v>
      </c>
      <c r="J124" s="39" t="s">
        <v>41</v>
      </c>
    </row>
    <row r="125" spans="1:10" x14ac:dyDescent="0.3">
      <c r="A125" s="16" t="s">
        <v>10</v>
      </c>
      <c r="B125" s="4">
        <v>46147</v>
      </c>
      <c r="C125" s="2"/>
      <c r="D125" s="43" t="s">
        <v>69</v>
      </c>
      <c r="E125" s="1"/>
      <c r="F125" s="8" t="s">
        <v>15</v>
      </c>
      <c r="G125" s="9">
        <v>3.7037037037037035E-4</v>
      </c>
      <c r="H125" s="14"/>
      <c r="I125" s="44">
        <v>1</v>
      </c>
      <c r="J125" s="39" t="s">
        <v>45</v>
      </c>
    </row>
    <row r="126" spans="1:10" x14ac:dyDescent="0.3">
      <c r="A126" s="16" t="s">
        <v>10</v>
      </c>
      <c r="B126" s="4">
        <v>46147</v>
      </c>
      <c r="C126" s="2"/>
      <c r="D126" s="43" t="s">
        <v>69</v>
      </c>
      <c r="E126" s="1"/>
      <c r="F126" s="8" t="s">
        <v>16</v>
      </c>
      <c r="G126" s="9">
        <v>2.199074074074074E-4</v>
      </c>
      <c r="H126" s="14"/>
      <c r="I126" s="44">
        <v>2</v>
      </c>
      <c r="J126" s="39" t="s">
        <v>41</v>
      </c>
    </row>
    <row r="127" spans="1:10" x14ac:dyDescent="0.3">
      <c r="A127" s="16" t="s">
        <v>10</v>
      </c>
      <c r="B127" s="4">
        <v>46147</v>
      </c>
      <c r="C127" s="2"/>
      <c r="D127" s="43" t="s">
        <v>69</v>
      </c>
      <c r="E127" s="1"/>
      <c r="F127" s="8" t="s">
        <v>44</v>
      </c>
      <c r="G127" s="9">
        <v>1.0648148148148149E-3</v>
      </c>
      <c r="H127" s="14"/>
      <c r="I127" s="44">
        <v>1</v>
      </c>
      <c r="J127" s="39" t="s">
        <v>43</v>
      </c>
    </row>
    <row r="128" spans="1:10" x14ac:dyDescent="0.3">
      <c r="A128" s="16" t="s">
        <v>10</v>
      </c>
      <c r="B128" s="4">
        <v>46147</v>
      </c>
      <c r="C128" s="2"/>
      <c r="D128" s="43" t="s">
        <v>69</v>
      </c>
      <c r="E128" s="1"/>
      <c r="F128" s="8" t="s">
        <v>46</v>
      </c>
      <c r="G128" s="9">
        <v>2.5462962962962961E-4</v>
      </c>
      <c r="H128" s="14"/>
      <c r="I128" s="44">
        <v>2</v>
      </c>
      <c r="J128" s="39" t="s">
        <v>41</v>
      </c>
    </row>
    <row r="129" spans="1:10" x14ac:dyDescent="0.3">
      <c r="A129" s="16" t="s">
        <v>10</v>
      </c>
      <c r="B129" s="4">
        <v>46147</v>
      </c>
      <c r="C129" s="2"/>
      <c r="D129" s="43" t="s">
        <v>69</v>
      </c>
      <c r="E129" s="1"/>
      <c r="F129" s="8" t="s">
        <v>47</v>
      </c>
      <c r="G129" s="9">
        <v>4.2824074074074075E-4</v>
      </c>
      <c r="H129" s="14"/>
      <c r="I129" s="44">
        <v>1</v>
      </c>
      <c r="J129" s="39" t="s">
        <v>43</v>
      </c>
    </row>
    <row r="130" spans="1:10" x14ac:dyDescent="0.3">
      <c r="A130" s="16" t="s">
        <v>10</v>
      </c>
      <c r="B130" s="4">
        <v>46147</v>
      </c>
      <c r="C130" s="2"/>
      <c r="D130" s="43" t="s">
        <v>69</v>
      </c>
      <c r="E130" s="1"/>
      <c r="F130" s="8" t="s">
        <v>48</v>
      </c>
      <c r="G130" s="9">
        <v>1.1226851851851851E-3</v>
      </c>
      <c r="H130" s="14"/>
      <c r="I130" s="44">
        <v>2</v>
      </c>
      <c r="J130" s="39" t="s">
        <v>41</v>
      </c>
    </row>
    <row r="131" spans="1:10" x14ac:dyDescent="0.3">
      <c r="A131" s="16" t="s">
        <v>10</v>
      </c>
      <c r="B131" s="4">
        <v>46147</v>
      </c>
      <c r="C131" s="2"/>
      <c r="D131" s="43" t="s">
        <v>69</v>
      </c>
      <c r="E131" s="1"/>
      <c r="F131" s="8" t="s">
        <v>62</v>
      </c>
      <c r="G131" s="9">
        <v>3.0092592592592595E-4</v>
      </c>
      <c r="H131" s="14"/>
      <c r="I131" s="44">
        <v>2</v>
      </c>
      <c r="J131" s="39" t="s">
        <v>41</v>
      </c>
    </row>
    <row r="132" spans="1:10" x14ac:dyDescent="0.3">
      <c r="A132" s="16" t="s">
        <v>10</v>
      </c>
      <c r="B132" s="4">
        <v>46147</v>
      </c>
      <c r="C132" s="2"/>
      <c r="D132" s="43" t="s">
        <v>69</v>
      </c>
      <c r="E132" s="1"/>
      <c r="F132" s="8" t="s">
        <v>63</v>
      </c>
      <c r="G132" s="9">
        <v>2.4305555555555555E-4</v>
      </c>
      <c r="H132" s="14"/>
      <c r="I132" s="44">
        <v>2</v>
      </c>
      <c r="J132" s="39" t="s">
        <v>41</v>
      </c>
    </row>
    <row r="133" spans="1:10" x14ac:dyDescent="0.3">
      <c r="A133" s="16" t="s">
        <v>10</v>
      </c>
      <c r="B133" s="4">
        <v>46147</v>
      </c>
      <c r="C133" s="2"/>
      <c r="D133" s="43" t="s">
        <v>69</v>
      </c>
      <c r="E133" s="1"/>
      <c r="F133" s="8" t="s">
        <v>64</v>
      </c>
      <c r="G133" s="9">
        <v>4.9768518518518521E-4</v>
      </c>
      <c r="H133" s="14"/>
      <c r="I133" s="44">
        <v>1</v>
      </c>
      <c r="J133" s="39" t="s">
        <v>43</v>
      </c>
    </row>
    <row r="134" spans="1:10" x14ac:dyDescent="0.3">
      <c r="A134" s="16" t="s">
        <v>10</v>
      </c>
      <c r="B134" s="4">
        <v>46147</v>
      </c>
      <c r="C134" s="2"/>
      <c r="D134" s="43" t="s">
        <v>69</v>
      </c>
      <c r="E134" s="1"/>
      <c r="F134" s="8" t="s">
        <v>70</v>
      </c>
      <c r="G134" s="9">
        <v>4.0509259259259258E-4</v>
      </c>
      <c r="H134" s="14"/>
      <c r="I134" s="44">
        <v>1</v>
      </c>
      <c r="J134" s="39" t="s">
        <v>43</v>
      </c>
    </row>
    <row r="135" spans="1:10" ht="15" thickBot="1" x14ac:dyDescent="0.35">
      <c r="A135" s="28" t="s">
        <v>10</v>
      </c>
      <c r="B135" s="62">
        <v>46147</v>
      </c>
      <c r="C135" s="50"/>
      <c r="D135" s="63" t="s">
        <v>69</v>
      </c>
      <c r="E135" s="51"/>
      <c r="F135" s="52" t="s">
        <v>71</v>
      </c>
      <c r="G135" s="53">
        <v>2.4305555555555555E-4</v>
      </c>
      <c r="H135" s="54"/>
      <c r="I135" s="64">
        <v>2</v>
      </c>
      <c r="J135" s="42" t="s">
        <v>41</v>
      </c>
    </row>
  </sheetData>
  <phoneticPr fontId="1" type="noConversion"/>
  <pageMargins left="0.75" right="0.75" top="1" bottom="1" header="0.5" footer="0.5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5FE01F-9232-4E1A-B88D-59CA3786E614}">
  <ds:schemaRefs>
    <ds:schemaRef ds:uri="http://schemas.microsoft.com/office/2006/metadata/properties"/>
    <ds:schemaRef ds:uri="http://schemas.microsoft.com/office/infopath/2007/PartnerControls"/>
    <ds:schemaRef ds:uri="812f1747-a289-40ba-9842-639b488d5eda"/>
    <ds:schemaRef ds:uri="9d4eaa7d-3dd4-4506-a65e-3f2d09884f7e"/>
  </ds:schemaRefs>
</ds:datastoreItem>
</file>

<file path=customXml/itemProps2.xml><?xml version="1.0" encoding="utf-8"?>
<ds:datastoreItem xmlns:ds="http://schemas.openxmlformats.org/officeDocument/2006/customXml" ds:itemID="{CE90F2E1-E045-4997-AD6D-6B980090351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5ECEC6C-373E-47D0-9C2D-E0A63A3436FA}"/>
</file>

<file path=customXml/itemProps4.xml><?xml version="1.0" encoding="utf-8"?>
<ds:datastoreItem xmlns:ds="http://schemas.openxmlformats.org/officeDocument/2006/customXml" ds:itemID="{BB7ED401-7F51-4C44-AE5F-C75CFCC744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Recolha_Tempos_Estr+Placar ROB.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César G. Barroso</cp:lastModifiedBy>
  <cp:revision/>
  <dcterms:created xsi:type="dcterms:W3CDTF">2026-04-14T14:57:44Z</dcterms:created>
  <dcterms:modified xsi:type="dcterms:W3CDTF">2026-05-26T16:10:26Z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