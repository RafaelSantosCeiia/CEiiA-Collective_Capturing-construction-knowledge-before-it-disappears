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5"/>
  <workbookPr/>
  <xr:revisionPtr revIDLastSave="6" documentId="11_F61BE519E80F495FD05E894E2C792021B4084F4D" xr6:coauthVersionLast="47" xr6:coauthVersionMax="47" xr10:uidLastSave="{D143B5B5-1C92-4585-9C81-12A0DBEE02EE}"/>
  <bookViews>
    <workbookView xWindow="0" yWindow="0" windowWidth="0" windowHeight="0" xr2:uid="{00000000-000D-0000-FFFF-FFFF00000000}"/>
  </bookViews>
  <sheets>
    <sheet name="PICU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s3RJ71P3afWJGsQSsjdex5iRAEVp5Ty024uC0y4ten8="/>
    </ext>
  </extLst>
</workbook>
</file>

<file path=xl/calcChain.xml><?xml version="1.0" encoding="utf-8"?>
<calcChain xmlns="http://schemas.openxmlformats.org/spreadsheetml/2006/main">
  <c r="D235" i="1" l="1"/>
  <c r="D229" i="1"/>
  <c r="D228" i="1"/>
  <c r="D222" i="1"/>
  <c r="D218" i="1"/>
  <c r="D214" i="1"/>
  <c r="D210" i="1"/>
  <c r="D209" i="1"/>
  <c r="D203" i="1"/>
  <c r="D200" i="1"/>
  <c r="D197" i="1"/>
  <c r="D194" i="1"/>
  <c r="D193" i="1"/>
  <c r="D185" i="1"/>
  <c r="D181" i="1"/>
  <c r="D179" i="1"/>
  <c r="D175" i="1"/>
  <c r="D173" i="1"/>
  <c r="D168" i="1"/>
  <c r="D161" i="1"/>
  <c r="E157" i="1"/>
  <c r="D155" i="1"/>
  <c r="D151" i="1"/>
  <c r="D150" i="1"/>
  <c r="D146" i="1"/>
  <c r="D143" i="1"/>
  <c r="D140" i="1"/>
  <c r="D139" i="1"/>
  <c r="D136" i="1"/>
  <c r="E243" i="1" s="1"/>
  <c r="B257" i="1" s="1"/>
  <c r="P130" i="1"/>
  <c r="B130" i="1"/>
  <c r="AF127" i="1"/>
  <c r="AD127" i="1"/>
  <c r="AB127" i="1"/>
  <c r="Z127" i="1"/>
  <c r="X127" i="1"/>
  <c r="V127" i="1"/>
  <c r="T127" i="1"/>
  <c r="R127" i="1"/>
  <c r="P127" i="1"/>
  <c r="N127" i="1"/>
  <c r="B127" i="1"/>
  <c r="AF119" i="1"/>
  <c r="AD119" i="1"/>
  <c r="AB119" i="1"/>
  <c r="Z119" i="1"/>
  <c r="X119" i="1"/>
  <c r="V119" i="1"/>
  <c r="T119" i="1"/>
  <c r="R119" i="1"/>
  <c r="P119" i="1"/>
  <c r="N119" i="1"/>
  <c r="L119" i="1"/>
  <c r="J119" i="1"/>
  <c r="H119" i="1"/>
  <c r="F119" i="1"/>
  <c r="D119" i="1"/>
  <c r="B119" i="1"/>
  <c r="AF115" i="1"/>
  <c r="AD115" i="1"/>
  <c r="AB115" i="1"/>
  <c r="Z115" i="1"/>
  <c r="X115" i="1"/>
  <c r="V115" i="1"/>
  <c r="T115" i="1"/>
  <c r="R115" i="1"/>
  <c r="P115" i="1"/>
  <c r="L115" i="1"/>
  <c r="J115" i="1"/>
  <c r="H115" i="1"/>
  <c r="F115" i="1"/>
  <c r="D115" i="1"/>
  <c r="B115" i="1"/>
  <c r="AF109" i="1"/>
  <c r="AD109" i="1"/>
  <c r="AB109" i="1"/>
  <c r="Z109" i="1"/>
  <c r="X109" i="1"/>
  <c r="V109" i="1"/>
  <c r="T109" i="1"/>
  <c r="R109" i="1"/>
  <c r="P109" i="1"/>
  <c r="N109" i="1"/>
  <c r="L109" i="1"/>
  <c r="J109" i="1"/>
  <c r="H109" i="1"/>
  <c r="F109" i="1"/>
  <c r="D109" i="1"/>
  <c r="B109" i="1"/>
  <c r="AF108" i="1"/>
  <c r="AD108" i="1"/>
  <c r="AB108" i="1"/>
  <c r="Z108" i="1"/>
  <c r="X108" i="1"/>
  <c r="V108" i="1"/>
  <c r="T108" i="1"/>
  <c r="R108" i="1"/>
  <c r="P108" i="1"/>
  <c r="N108" i="1"/>
  <c r="L108" i="1"/>
  <c r="J108" i="1"/>
  <c r="H108" i="1"/>
  <c r="F108" i="1"/>
  <c r="D108" i="1"/>
  <c r="B108" i="1"/>
  <c r="AF103" i="1"/>
  <c r="AD103" i="1"/>
  <c r="AB103" i="1"/>
  <c r="Z103" i="1"/>
  <c r="X103" i="1"/>
  <c r="V103" i="1"/>
  <c r="T103" i="1"/>
  <c r="R103" i="1"/>
  <c r="P103" i="1"/>
  <c r="N103" i="1"/>
  <c r="L103" i="1"/>
  <c r="J103" i="1"/>
  <c r="H103" i="1"/>
  <c r="F103" i="1"/>
  <c r="D103" i="1"/>
  <c r="B103" i="1"/>
  <c r="AF98" i="1"/>
  <c r="AD98" i="1"/>
  <c r="AB98" i="1"/>
  <c r="Z98" i="1"/>
  <c r="X98" i="1"/>
  <c r="V98" i="1"/>
  <c r="T98" i="1"/>
  <c r="R98" i="1"/>
  <c r="P98" i="1"/>
  <c r="N98" i="1"/>
  <c r="L98" i="1"/>
  <c r="J98" i="1"/>
  <c r="H98" i="1"/>
  <c r="F98" i="1"/>
  <c r="D98" i="1"/>
  <c r="B98" i="1"/>
  <c r="AF97" i="1"/>
  <c r="AD97" i="1"/>
  <c r="AB97" i="1"/>
  <c r="Z97" i="1"/>
  <c r="X97" i="1"/>
  <c r="V97" i="1"/>
  <c r="T97" i="1"/>
  <c r="R97" i="1"/>
  <c r="P97" i="1"/>
  <c r="N97" i="1"/>
  <c r="L97" i="1"/>
  <c r="J97" i="1"/>
  <c r="H97" i="1"/>
  <c r="F97" i="1"/>
  <c r="D97" i="1"/>
  <c r="B97" i="1"/>
  <c r="N93" i="1"/>
  <c r="L93" i="1"/>
  <c r="H93" i="1"/>
  <c r="F93" i="1"/>
  <c r="D93" i="1"/>
  <c r="B93" i="1"/>
  <c r="AF90" i="1"/>
  <c r="AD90" i="1"/>
  <c r="AC90" i="1"/>
  <c r="Z90" i="1"/>
  <c r="X90" i="1"/>
  <c r="W90" i="1"/>
  <c r="T90" i="1"/>
  <c r="R90" i="1"/>
  <c r="F90" i="1"/>
  <c r="B90" i="1"/>
  <c r="F86" i="1"/>
  <c r="D86" i="1"/>
  <c r="B86" i="1"/>
  <c r="F83" i="1"/>
  <c r="D83" i="1"/>
  <c r="B83" i="1"/>
  <c r="F80" i="1"/>
  <c r="D80" i="1"/>
  <c r="B80" i="1"/>
  <c r="AF79" i="1"/>
  <c r="AD79" i="1"/>
  <c r="AB79" i="1"/>
  <c r="Z79" i="1"/>
  <c r="X79" i="1"/>
  <c r="V79" i="1"/>
  <c r="T79" i="1"/>
  <c r="R79" i="1"/>
  <c r="P79" i="1"/>
  <c r="N79" i="1"/>
  <c r="L79" i="1"/>
  <c r="J79" i="1"/>
  <c r="H79" i="1"/>
  <c r="F79" i="1"/>
  <c r="D79" i="1"/>
  <c r="B79" i="1"/>
  <c r="AF72" i="1"/>
  <c r="AD72" i="1"/>
  <c r="AB72" i="1"/>
  <c r="Z72" i="1"/>
  <c r="X72" i="1"/>
  <c r="V72" i="1"/>
  <c r="T72" i="1"/>
  <c r="R72" i="1"/>
  <c r="P72" i="1"/>
  <c r="N72" i="1"/>
  <c r="L72" i="1"/>
  <c r="J72" i="1"/>
  <c r="H72" i="1"/>
  <c r="F72" i="1"/>
  <c r="D72" i="1"/>
  <c r="B72" i="1"/>
  <c r="AF67" i="1"/>
  <c r="AD67" i="1"/>
  <c r="AB67" i="1"/>
  <c r="Z67" i="1"/>
  <c r="X67" i="1"/>
  <c r="V67" i="1"/>
  <c r="T67" i="1"/>
  <c r="R67" i="1"/>
  <c r="P67" i="1"/>
  <c r="N67" i="1"/>
  <c r="L67" i="1"/>
  <c r="J67" i="1"/>
  <c r="H67" i="1"/>
  <c r="F67" i="1"/>
  <c r="D67" i="1"/>
  <c r="B67" i="1"/>
  <c r="AF65" i="1"/>
  <c r="AD65" i="1"/>
  <c r="AB65" i="1"/>
  <c r="Z65" i="1"/>
  <c r="X65" i="1"/>
  <c r="V65" i="1"/>
  <c r="T65" i="1"/>
  <c r="R65" i="1"/>
  <c r="P65" i="1"/>
  <c r="N65" i="1"/>
  <c r="L65" i="1"/>
  <c r="J65" i="1"/>
  <c r="H65" i="1"/>
  <c r="F65" i="1"/>
  <c r="D65" i="1"/>
  <c r="B65" i="1"/>
  <c r="AF59" i="1"/>
  <c r="AD59" i="1"/>
  <c r="AB59" i="1"/>
  <c r="Z59" i="1"/>
  <c r="X59" i="1"/>
  <c r="V59" i="1"/>
  <c r="T59" i="1"/>
  <c r="R59" i="1"/>
  <c r="P59" i="1"/>
  <c r="N59" i="1"/>
  <c r="L59" i="1"/>
  <c r="H59" i="1"/>
  <c r="F59" i="1"/>
  <c r="D59" i="1"/>
  <c r="B59" i="1"/>
  <c r="AF54" i="1"/>
  <c r="AD54" i="1"/>
  <c r="AB54" i="1"/>
  <c r="Z54" i="1"/>
  <c r="X54" i="1"/>
  <c r="V54" i="1"/>
  <c r="T54" i="1"/>
  <c r="R54" i="1"/>
  <c r="P54" i="1"/>
  <c r="N54" i="1"/>
  <c r="L54" i="1"/>
  <c r="J54" i="1"/>
  <c r="H54" i="1"/>
  <c r="F54" i="1"/>
  <c r="D54" i="1"/>
  <c r="B54" i="1"/>
  <c r="AF53" i="1"/>
  <c r="AD53" i="1"/>
  <c r="AB53" i="1"/>
  <c r="Z53" i="1"/>
  <c r="X53" i="1"/>
  <c r="V53" i="1"/>
  <c r="T53" i="1"/>
  <c r="R53" i="1"/>
  <c r="P53" i="1"/>
  <c r="N53" i="1"/>
  <c r="L53" i="1"/>
  <c r="J53" i="1"/>
  <c r="H53" i="1"/>
  <c r="F53" i="1"/>
  <c r="D53" i="1"/>
  <c r="B53" i="1"/>
  <c r="AF49" i="1"/>
  <c r="AD49" i="1"/>
  <c r="AB49" i="1"/>
  <c r="Z49" i="1"/>
  <c r="X49" i="1"/>
  <c r="V49" i="1"/>
  <c r="T49" i="1"/>
  <c r="R49" i="1"/>
  <c r="P49" i="1"/>
  <c r="N49" i="1"/>
  <c r="L49" i="1"/>
  <c r="H49" i="1"/>
  <c r="F49" i="1"/>
  <c r="D49" i="1"/>
  <c r="B49" i="1"/>
  <c r="AF46" i="1"/>
  <c r="AD46" i="1"/>
  <c r="AB46" i="1"/>
  <c r="Z46" i="1"/>
  <c r="X46" i="1"/>
  <c r="V46" i="1"/>
  <c r="T46" i="1"/>
  <c r="R46" i="1"/>
  <c r="P46" i="1"/>
  <c r="N46" i="1"/>
  <c r="L46" i="1"/>
  <c r="J46" i="1"/>
  <c r="H46" i="1"/>
  <c r="F46" i="1"/>
  <c r="D46" i="1"/>
  <c r="B46" i="1"/>
  <c r="AF43" i="1"/>
  <c r="AG130" i="1" s="1"/>
  <c r="AD43" i="1"/>
  <c r="AE130" i="1" s="1"/>
  <c r="AB43" i="1"/>
  <c r="AC130" i="1" s="1"/>
  <c r="B258" i="1" s="1"/>
  <c r="Z43" i="1"/>
  <c r="AA130" i="1" s="1"/>
  <c r="X43" i="1"/>
  <c r="Y130" i="1" s="1"/>
  <c r="V43" i="1"/>
  <c r="W130" i="1" s="1"/>
  <c r="B259" i="1" s="1"/>
  <c r="T43" i="1"/>
  <c r="R43" i="1"/>
  <c r="P43" i="1"/>
  <c r="N43" i="1"/>
  <c r="O130" i="1" s="1"/>
  <c r="N135" i="1" s="1"/>
  <c r="L43" i="1"/>
  <c r="M130" i="1" s="1"/>
  <c r="J43" i="1"/>
  <c r="K130" i="1" s="1"/>
  <c r="H43" i="1"/>
  <c r="I130" i="1" s="1"/>
  <c r="F43" i="1"/>
  <c r="D43" i="1"/>
  <c r="B43" i="1"/>
  <c r="AF42" i="1"/>
  <c r="AD42" i="1"/>
  <c r="AB42" i="1"/>
  <c r="Z42" i="1"/>
  <c r="X42" i="1"/>
  <c r="V42" i="1"/>
  <c r="T42" i="1"/>
  <c r="R42" i="1"/>
  <c r="P42" i="1"/>
  <c r="N42" i="1"/>
  <c r="L42" i="1"/>
  <c r="J42" i="1"/>
  <c r="H42" i="1"/>
  <c r="F42" i="1"/>
  <c r="G130" i="1" s="1"/>
  <c r="B256" i="1" s="1"/>
  <c r="D42" i="1"/>
  <c r="E130" i="1" s="1"/>
  <c r="B42" i="1"/>
  <c r="AF39" i="1"/>
  <c r="AD39" i="1"/>
  <c r="AB39" i="1"/>
  <c r="Z39" i="1"/>
  <c r="X39" i="1"/>
  <c r="V39" i="1"/>
  <c r="T39" i="1"/>
  <c r="U130" i="1" s="1"/>
  <c r="R39" i="1"/>
  <c r="S130" i="1" s="1"/>
  <c r="P39" i="1"/>
  <c r="Q130" i="1" s="1"/>
  <c r="Q132" i="1" s="1"/>
  <c r="Q135" i="1" s="1"/>
  <c r="N39" i="1"/>
  <c r="L39" i="1"/>
  <c r="J39" i="1"/>
  <c r="H39" i="1"/>
  <c r="P28" i="1"/>
  <c r="O28" i="1"/>
  <c r="B254" i="1" s="1"/>
  <c r="K28" i="1"/>
  <c r="B248" i="1" s="1"/>
  <c r="I28" i="1"/>
  <c r="H28" i="1"/>
  <c r="F28" i="1"/>
  <c r="E28" i="1"/>
  <c r="C28" i="1"/>
  <c r="Q19" i="1"/>
  <c r="P19" i="1"/>
  <c r="O19" i="1"/>
  <c r="M19" i="1"/>
  <c r="L19" i="1"/>
  <c r="Q9" i="1"/>
  <c r="Q28" i="1" s="1"/>
  <c r="B255" i="1" s="1"/>
  <c r="P9" i="1"/>
  <c r="O9" i="1"/>
  <c r="M9" i="1"/>
  <c r="Q6" i="1"/>
  <c r="P6" i="1"/>
  <c r="O6" i="1"/>
  <c r="M6" i="1"/>
  <c r="M28" i="1" s="1"/>
  <c r="N30" i="1" s="1"/>
  <c r="N32" i="1" s="1"/>
  <c r="L6" i="1"/>
  <c r="L28" i="1" s="1"/>
  <c r="B253" i="1" s="1"/>
  <c r="G6" i="1"/>
  <c r="B6" i="1"/>
  <c r="B28" i="1" s="1"/>
  <c r="B247" i="1" s="1"/>
  <c r="B252" i="1" l="1"/>
  <c r="J30" i="1"/>
  <c r="G28" i="1"/>
  <c r="B250" i="1" s="1"/>
  <c r="D28" i="1"/>
  <c r="B249" i="1"/>
  <c r="E30" i="1" l="1"/>
  <c r="B25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3" authorId="0" shapeId="0" xr:uid="{00000000-0006-0000-0000-00004C000000}">
      <text>
        <r>
          <rPr>
            <sz val="10"/>
            <color rgb="FF000000"/>
            <rFont val="Arial"/>
            <scheme val="minor"/>
          </rPr>
          <t>======
ID#AAAB51bP9sQ
    (2026-05-07 14:54:04)
saiu do local, moveu a mesa do gabari para ir colocar numa palete de madeira por falta de mesas</t>
        </r>
      </text>
    </comment>
    <comment ref="D3" authorId="0" shapeId="0" xr:uid="{00000000-0006-0000-0000-00002D000000}">
      <text>
        <r>
          <rPr>
            <sz val="10"/>
            <color rgb="FF000000"/>
            <rFont val="Arial"/>
            <scheme val="minor"/>
          </rPr>
          <t>======
ID#AAAB55eV1UE
    (2026-05-07 14:54:04)
No fim tiveram que andar á procura de um local para colocar o produto porque as mesas estavam todas ocupadas</t>
        </r>
      </text>
    </comment>
    <comment ref="L3" authorId="0" shapeId="0" xr:uid="{00000000-0006-0000-0000-00001A000000}">
      <text>
        <r>
          <rPr>
            <sz val="10"/>
            <color rgb="FF000000"/>
            <rFont val="Arial"/>
            <scheme val="minor"/>
          </rPr>
          <t>======
ID#AAAB55eV1VQ
    (2026-05-07 14:54:04)
Executado apenas por um operador</t>
        </r>
      </text>
    </comment>
    <comment ref="O3" authorId="0" shapeId="0" xr:uid="{00000000-0006-0000-0000-00000C000000}">
      <text>
        <r>
          <rPr>
            <sz val="10"/>
            <color rgb="FF000000"/>
            <rFont val="Arial"/>
            <scheme val="minor"/>
          </rPr>
          <t>======
ID#AAAB55eV1WQ
    (2026-05-07 14:54:04)
Hugo</t>
        </r>
      </text>
    </comment>
    <comment ref="P3" authorId="0" shapeId="0" xr:uid="{00000000-0006-0000-0000-000046000000}">
      <text>
        <r>
          <rPr>
            <sz val="10"/>
            <color rgb="FF000000"/>
            <rFont val="Arial"/>
            <scheme val="minor"/>
          </rPr>
          <t>======
ID#AAAB51bP9s0
    (2026-05-07 14:54:04)
LUÍS E HUGO</t>
        </r>
      </text>
    </comment>
    <comment ref="Q3" authorId="0" shapeId="0" xr:uid="{00000000-0006-0000-0000-00000B000000}">
      <text>
        <r>
          <rPr>
            <sz val="10"/>
            <color rgb="FF000000"/>
            <rFont val="Arial"/>
            <scheme val="minor"/>
          </rPr>
          <t>======
ID#AAAB55eV1WI
    (2026-05-07 14:54:04)
WILSON E VITOR</t>
        </r>
      </text>
    </comment>
    <comment ref="P8" authorId="0" shapeId="0" xr:uid="{00000000-0006-0000-0000-000009000000}">
      <text>
        <r>
          <rPr>
            <sz val="10"/>
            <color rgb="FF000000"/>
            <rFont val="Arial"/>
            <scheme val="minor"/>
          </rPr>
          <t>======
ID#AAAB55eV1WU
    (2026-05-07 14:54:04)
antes de fixar foi verificar se uma etiqueta estava colocada no produto correto</t>
        </r>
      </text>
    </comment>
    <comment ref="F12" authorId="0" shapeId="0" xr:uid="{00000000-0006-0000-0000-00003E000000}">
      <text>
        <r>
          <rPr>
            <sz val="10"/>
            <color rgb="FF000000"/>
            <rFont val="Arial"/>
            <scheme val="minor"/>
          </rPr>
          <t>======
ID#AAAB51bP9tI
    (2026-05-07 14:54:04)
ANALISAR DESENHO</t>
        </r>
      </text>
    </comment>
    <comment ref="G12" authorId="0" shapeId="0" xr:uid="{00000000-0006-0000-0000-000029000000}">
      <text>
        <r>
          <rPr>
            <sz val="10"/>
            <color rgb="FF000000"/>
            <rFont val="Arial"/>
            <scheme val="minor"/>
          </rPr>
          <t>======
ID#AAAB55eV1UU
    (2026-05-07 14:54:04)
CONFIRMAR MEDIDAS</t>
        </r>
      </text>
    </comment>
    <comment ref="O12" authorId="0" shapeId="0" xr:uid="{00000000-0006-0000-0000-000060000000}">
      <text>
        <r>
          <rPr>
            <sz val="10"/>
            <color rgb="FF000000"/>
            <rFont val="Arial"/>
            <scheme val="minor"/>
          </rPr>
          <t>======
ID#AAAB51bP9rA
    (2026-05-07 14:54:04)
o operador Luís veio fazer o clinching porque estava disponivél</t>
        </r>
      </text>
    </comment>
    <comment ref="F14" authorId="0" shapeId="0" xr:uid="{00000000-0006-0000-0000-000039000000}">
      <text>
        <r>
          <rPr>
            <sz val="10"/>
            <color rgb="FF000000"/>
            <rFont val="Arial"/>
            <scheme val="minor"/>
          </rPr>
          <t>======
ID#AAAB51bP9tY
    (2026-05-07 14:54:04)
SÓ OP2</t>
        </r>
      </text>
    </comment>
    <comment ref="I14" authorId="0" shapeId="0" xr:uid="{00000000-0006-0000-0000-00004D000000}">
      <text>
        <r>
          <rPr>
            <sz val="10"/>
            <color rgb="FF000000"/>
            <rFont val="Arial"/>
            <scheme val="minor"/>
          </rPr>
          <t>======
ID#AAAB51bP9sI
    (2026-05-07 14:54:04)
(confirmar desenho)</t>
        </r>
      </text>
    </comment>
    <comment ref="O14" authorId="0" shapeId="0" xr:uid="{00000000-0006-0000-0000-000037000000}">
      <text>
        <r>
          <rPr>
            <sz val="10"/>
            <color rgb="FF000000"/>
            <rFont val="Arial"/>
            <scheme val="minor"/>
          </rPr>
          <t>======
ID#AAAB51bP9tg
    (2026-05-07 14:54:04)
CONFIRMAR MEDIÇÕES</t>
        </r>
      </text>
    </comment>
    <comment ref="P14" authorId="0" shapeId="0" xr:uid="{00000000-0006-0000-0000-000007000000}">
      <text>
        <r>
          <rPr>
            <sz val="10"/>
            <color rgb="FF000000"/>
            <rFont val="Arial"/>
            <scheme val="minor"/>
          </rPr>
          <t>======
ID#AAAB55eV1Wc
    (2026-05-07 14:54:04)
foi confirmar medidas enquaNto ajustava a placa 1 antes de aparafusar</t>
        </r>
      </text>
    </comment>
    <comment ref="F15" authorId="0" shapeId="0" xr:uid="{00000000-0006-0000-0000-000065000000}">
      <text>
        <r>
          <rPr>
            <sz val="10"/>
            <color rgb="FF000000"/>
            <rFont val="Arial"/>
            <scheme val="minor"/>
          </rPr>
          <t>======
ID#AAAB51bP9qs
    (2026-05-07 14:54:04)
RETIRAR MATERIAL DE BAIXO DA ESTRUTURA, CONFIRMAR DESENHO E MEDIDAS PLACAS
SÓ OP2</t>
        </r>
      </text>
    </comment>
    <comment ref="M15" authorId="0" shapeId="0" xr:uid="{00000000-0006-0000-0000-000021000000}">
      <text>
        <r>
          <rPr>
            <sz val="10"/>
            <color rgb="FF000000"/>
            <rFont val="Arial"/>
            <scheme val="minor"/>
          </rPr>
          <t>======
ID#AAAB55eV1U0
    (2026-05-07 14:54:04)
entre estas duas micro tarefas teve que se ausentar para ir á etapa de colocar o ceramico confirmar medidas e ajustes não coincidentes nos desenhos dos projetos que cada etapa tem (voltou às 17:10 , colocar ainda as luvas e verificar desenho) ; 20:30 +/- teve ainda que ir perguntar a quem corta as placas pelas da segunda placagem porque são azuis e não estavam junto ao meterial que eles têm organizado atrás deles; 21:37 vieram os dois confirmar desenhos tecnicos; 22:45 confirmar se as placas já cortadas no local de alimentação dão</t>
        </r>
      </text>
    </comment>
    <comment ref="O15" authorId="0" shapeId="0" xr:uid="{00000000-0006-0000-0000-000010000000}">
      <text>
        <r>
          <rPr>
            <sz val="10"/>
            <color rgb="FF000000"/>
            <rFont val="Arial"/>
            <scheme val="minor"/>
          </rPr>
          <t>======
ID#AAAB55eV1V4
    (2026-05-07 14:54:04)
a partir desta micro-tarefa o operador Luís já esteve presente até ao fim</t>
        </r>
      </text>
    </comment>
    <comment ref="F18" authorId="0" shapeId="0" xr:uid="{00000000-0006-0000-0000-00001F000000}">
      <text>
        <r>
          <rPr>
            <sz val="10"/>
            <color rgb="FF000000"/>
            <rFont val="Arial"/>
            <scheme val="minor"/>
          </rPr>
          <t>======
ID#AAAB55eV1U8
    (2026-05-07 14:54:04)
INCLUINDO ABASTECER PARAFUSOS</t>
        </r>
      </text>
    </comment>
    <comment ref="I18" authorId="0" shapeId="0" xr:uid="{00000000-0006-0000-0000-00000E000000}">
      <text>
        <r>
          <rPr>
            <sz val="10"/>
            <color rgb="FF000000"/>
            <rFont val="Arial"/>
            <scheme val="minor"/>
          </rPr>
          <t>======
ID#AAAB55eV1WA
    (2026-05-07 14:54:04)
(abastecer parafusos na aparafusadeira automática)</t>
        </r>
      </text>
    </comment>
    <comment ref="O18" authorId="0" shapeId="0" xr:uid="{00000000-0006-0000-0000-00005F000000}">
      <text>
        <r>
          <rPr>
            <sz val="10"/>
            <color rgb="FF000000"/>
            <rFont val="Arial"/>
            <scheme val="minor"/>
          </rPr>
          <t>======
ID#AAAB51bP9rE
    (2026-05-07 14:54:04)
abastecer parafusos</t>
        </r>
      </text>
    </comment>
    <comment ref="P18" authorId="0" shapeId="0" xr:uid="{00000000-0006-0000-0000-000034000000}">
      <text>
        <r>
          <rPr>
            <sz val="10"/>
            <color rgb="FF000000"/>
            <rFont val="Arial"/>
            <scheme val="minor"/>
          </rPr>
          <t>======
ID#AAAB55eV1To
    (2026-05-07 14:54:04)
abastecer parafusos op1 e op2</t>
        </r>
      </text>
    </comment>
    <comment ref="F22" authorId="0" shapeId="0" xr:uid="{00000000-0006-0000-0000-00004E000000}">
      <text>
        <r>
          <rPr>
            <sz val="10"/>
            <color rgb="FF000000"/>
            <rFont val="Arial"/>
            <scheme val="minor"/>
          </rPr>
          <t>======
ID#AAAB51bP9sE
    (2026-05-07 14:54:04)
POR MOTIVOS DE O OP1 ESTAR ALEIJADO É NECESSÁRIO PEDIR A OUTRO OPERADOR PARA VIR AJUDAR EM CERTAS TAREFAS , MAIS ESPECIFICAMENTE TUDO O QUE INCLUA PEGAR NO PRODUTO FINAL OU JÁ COM TUDO EM CIMA</t>
        </r>
      </text>
    </comment>
    <comment ref="F25" authorId="0" shapeId="0" xr:uid="{00000000-0006-0000-0000-000028000000}">
      <text>
        <r>
          <rPr>
            <sz val="10"/>
            <color rgb="FF000000"/>
            <rFont val="Arial"/>
            <scheme val="minor"/>
          </rPr>
          <t>======
ID#AAAB55eV1UY
    (2026-05-07 14:54:04)
O OP1 AUSENTOU-SE POR MOTIVOS DE CONFIRMAR MEDIDAS (ACHO EU) NE O OP2 CONTINUOU A TENTAR ARRANJAR LOCAL PARA COLOCAR AS PLACAS JÁ FEITAS , ACUMULAÇÃO DE MATERIAL E FALTA DE ESPAÇO PARA O QUE ESTÁ A SER FEITO</t>
        </r>
      </text>
    </comment>
    <comment ref="I26" authorId="0" shapeId="0" xr:uid="{00000000-0006-0000-0000-000068000000}">
      <text>
        <r>
          <rPr>
            <sz val="10"/>
            <color rgb="FF000000"/>
            <rFont val="Arial"/>
            <scheme val="minor"/>
          </rPr>
          <t>======
ID#AAAB51bP9qk
    (2026-05-07 14:54:04)
(antes, ir deitar material ao lixo do abastecimento de parafusos plastico)</t>
        </r>
      </text>
    </comment>
    <comment ref="O27" authorId="0" shapeId="0" xr:uid="{00000000-0006-0000-0000-00002F000000}">
      <text>
        <r>
          <rPr>
            <sz val="10"/>
            <color rgb="FF000000"/>
            <rFont val="Arial"/>
            <scheme val="minor"/>
          </rPr>
          <t>======
ID#AAAB55eV1T8
    (2026-05-07 14:54:04)
voltar ao local</t>
        </r>
      </text>
    </comment>
    <comment ref="P27" authorId="0" shapeId="0" xr:uid="{00000000-0006-0000-0000-000040000000}">
      <text>
        <r>
          <rPr>
            <sz val="10"/>
            <color rgb="FF000000"/>
            <rFont val="Arial"/>
            <scheme val="minor"/>
          </rPr>
          <t>======
ID#AAAB51bP9tA
    (2026-05-07 14:54:04)
voltar ao local</t>
        </r>
      </text>
    </comment>
    <comment ref="Q27" authorId="0" shapeId="0" xr:uid="{00000000-0006-0000-0000-000026000000}">
      <text>
        <r>
          <rPr>
            <sz val="10"/>
            <color rgb="FF000000"/>
            <rFont val="Arial"/>
            <scheme val="minor"/>
          </rPr>
          <t>======
ID#AAAB55eV1Ug
    (2026-05-07 14:54:04)
voltar ao local</t>
        </r>
      </text>
    </comment>
    <comment ref="B38" authorId="0" shapeId="0" xr:uid="{00000000-0006-0000-0000-000036000000}">
      <text>
        <r>
          <rPr>
            <sz val="10"/>
            <color rgb="FF000000"/>
            <rFont val="Arial"/>
            <scheme val="minor"/>
          </rPr>
          <t>======
ID#AAAB51bP9tk
    (2026-05-07 14:54:04)
WILSON E HUGO</t>
        </r>
      </text>
    </comment>
    <comment ref="D38" authorId="0" shapeId="0" xr:uid="{00000000-0006-0000-0000-000041000000}">
      <text>
        <r>
          <rPr>
            <sz val="10"/>
            <color rgb="FF000000"/>
            <rFont val="Arial"/>
            <scheme val="minor"/>
          </rPr>
          <t>======
ID#AAAB51bP9s8
    (2026-05-07 14:54:04)
LUÍS E HUGO</t>
        </r>
      </text>
    </comment>
    <comment ref="F38" authorId="0" shapeId="0" xr:uid="{00000000-0006-0000-0000-00000A000000}">
      <text>
        <r>
          <rPr>
            <sz val="10"/>
            <color rgb="FF000000"/>
            <rFont val="Arial"/>
            <scheme val="minor"/>
          </rPr>
          <t>======
ID#AAAB55eV1WM
    (2026-05-07 14:54:04)
LUÍS E HUGO</t>
        </r>
      </text>
    </comment>
    <comment ref="H38" authorId="0" shapeId="0" xr:uid="{00000000-0006-0000-0000-000030000000}">
      <text>
        <r>
          <rPr>
            <sz val="10"/>
            <color rgb="FF000000"/>
            <rFont val="Arial"/>
            <scheme val="minor"/>
          </rPr>
          <t>======
ID#AAAB55eV1T4
    (2026-05-07 14:54:04)
WILSON</t>
        </r>
      </text>
    </comment>
    <comment ref="N38" authorId="0" shapeId="0" xr:uid="{00000000-0006-0000-0000-000038000000}">
      <text>
        <r>
          <rPr>
            <sz val="10"/>
            <color rgb="FF000000"/>
            <rFont val="Arial"/>
            <scheme val="minor"/>
          </rPr>
          <t>======
ID#AAAB51bP9to
    (2026-05-07 14:54:04)
op1-LUÍS E op2-HUGO</t>
        </r>
      </text>
    </comment>
    <comment ref="N42" authorId="0" shapeId="0" xr:uid="{00000000-0006-0000-0000-000020000000}">
      <text>
        <r>
          <rPr>
            <sz val="10"/>
            <color rgb="FF000000"/>
            <rFont val="Arial"/>
            <scheme val="minor"/>
          </rPr>
          <t>======
ID#AAAB55eV1U4
    (2026-05-07 14:54:04)
só op2</t>
        </r>
      </text>
    </comment>
    <comment ref="P48" authorId="0" shapeId="0" xr:uid="{00000000-0006-0000-0000-00002C000000}">
      <text>
        <r>
          <rPr>
            <sz val="10"/>
            <color rgb="FF000000"/>
            <rFont val="Arial"/>
            <scheme val="minor"/>
          </rPr>
          <t>======
ID#AAAB55eV1UI
    (2026-05-07 14:54:04)
06:27 - 06:29(este intervalo de tempo foi porque ele retirou a raia para ajustar melhor o gabari)</t>
        </r>
      </text>
    </comment>
    <comment ref="D51" authorId="0" shapeId="0" xr:uid="{00000000-0006-0000-0000-000033000000}">
      <text>
        <r>
          <rPr>
            <sz val="10"/>
            <color rgb="FF000000"/>
            <rFont val="Arial"/>
            <scheme val="minor"/>
          </rPr>
          <t>======
ID#AAAB55eV1Ts
    (2026-05-07 14:54:04)
só op1</t>
        </r>
      </text>
    </comment>
    <comment ref="N53" authorId="0" shapeId="0" xr:uid="{00000000-0006-0000-0000-000055000000}">
      <text>
        <r>
          <rPr>
            <sz val="10"/>
            <color rgb="FF000000"/>
            <rFont val="Arial"/>
            <scheme val="minor"/>
          </rPr>
          <t>======
ID#AAAB51bP9rk
    (2026-05-07 14:54:04)
só op2</t>
        </r>
      </text>
    </comment>
    <comment ref="R53" authorId="0" shapeId="0" xr:uid="{00000000-0006-0000-0000-000054000000}">
      <text>
        <r>
          <rPr>
            <sz val="10"/>
            <color rgb="FF000000"/>
            <rFont val="Arial"/>
            <scheme val="minor"/>
          </rPr>
          <t>======
ID#AAAB51bP9r0
    (2026-05-07 14:54:04)
entre a preparação da estrutura e a montagem da estrutura o operador foi ajudar o outro a virar a placa que estava a fazer</t>
        </r>
      </text>
    </comment>
    <comment ref="V54" authorId="0" shapeId="0" xr:uid="{00000000-0006-0000-0000-000004000000}">
      <text>
        <r>
          <rPr>
            <sz val="10"/>
            <color rgb="FF000000"/>
            <rFont val="Arial"/>
            <scheme val="minor"/>
          </rPr>
          <t>======
ID#AAAB55eV1Ws
    (2026-05-07 14:54:04)
como a parede PP02 é muito pequena eles não fixam a estrutura</t>
        </r>
      </text>
    </comment>
    <comment ref="AB54" authorId="0" shapeId="0" xr:uid="{00000000-0006-0000-0000-00003F000000}">
      <text>
        <r>
          <rPr>
            <sz val="10"/>
            <color rgb="FF000000"/>
            <rFont val="Arial"/>
            <scheme val="minor"/>
          </rPr>
          <t>======
ID#AAAB51bP9tE
    (2026-05-07 14:54:04)
como a parede PP02 é muito pequena eles não fixam a estrutura</t>
        </r>
      </text>
    </comment>
    <comment ref="N56" authorId="0" shapeId="0" xr:uid="{00000000-0006-0000-0000-00004A000000}">
      <text>
        <r>
          <rPr>
            <sz val="10"/>
            <color rgb="FF000000"/>
            <rFont val="Arial"/>
            <scheme val="minor"/>
          </rPr>
          <t>======
ID#AAAB51bP9sY
    (2026-05-07 14:54:04)
demorou mais um bocado porque esteva procurar a peça de encaixe para fixar</t>
        </r>
      </text>
    </comment>
    <comment ref="B57" authorId="0" shapeId="0" xr:uid="{00000000-0006-0000-0000-000016000000}">
      <text>
        <r>
          <rPr>
            <sz val="10"/>
            <color rgb="FF000000"/>
            <rFont val="Arial"/>
            <scheme val="minor"/>
          </rPr>
          <t>======
ID#AAAB55eV1Vg
    (2026-05-07 14:54:04)
Wilson</t>
        </r>
      </text>
    </comment>
    <comment ref="B58" authorId="0" shapeId="0" xr:uid="{00000000-0006-0000-0000-00001E000000}">
      <text>
        <r>
          <rPr>
            <sz val="10"/>
            <color rgb="FF000000"/>
            <rFont val="Arial"/>
            <scheme val="minor"/>
          </rPr>
          <t>======
ID#AAAB55eV1VA
    (2026-05-07 14:54:04)
Hugo</t>
        </r>
      </text>
    </comment>
    <comment ref="D60" authorId="0" shapeId="0" xr:uid="{00000000-0006-0000-0000-00005E000000}">
      <text>
        <r>
          <rPr>
            <sz val="10"/>
            <color rgb="FF000000"/>
            <rFont val="Arial"/>
            <scheme val="minor"/>
          </rPr>
          <t>======
ID#AAAB51bP9rM
    (2026-05-07 14:54:04)
neste tempo já inclui a medida dos 2 mm laterais</t>
        </r>
      </text>
    </comment>
    <comment ref="D61" authorId="0" shapeId="0" xr:uid="{00000000-0006-0000-0000-000022000000}">
      <text>
        <r>
          <rPr>
            <sz val="10"/>
            <color rgb="FF000000"/>
            <rFont val="Arial"/>
            <scheme val="minor"/>
          </rPr>
          <t>======
ID#AAAB55eV1Uw
    (2026-05-07 14:54:04)
medidas normais + medida dos 2 mm laterais</t>
        </r>
      </text>
    </comment>
    <comment ref="F61" authorId="0" shapeId="0" xr:uid="{00000000-0006-0000-0000-000044000000}">
      <text>
        <r>
          <rPr>
            <sz val="10"/>
            <color rgb="FF000000"/>
            <rFont val="Arial"/>
            <scheme val="minor"/>
          </rPr>
          <t>======
ID#AAAB51bP9ss
    (2026-05-07 14:54:04)
32:01 até 32:05 foi quando ele fez as medidas dos 2 mm</t>
        </r>
      </text>
    </comment>
    <comment ref="N65" authorId="0" shapeId="0" xr:uid="{00000000-0006-0000-0000-000053000000}">
      <text>
        <r>
          <rPr>
            <sz val="10"/>
            <color rgb="FF000000"/>
            <rFont val="Arial"/>
            <scheme val="minor"/>
          </rPr>
          <t>======
ID#AAAB51bP9rw
    (2026-05-07 14:54:04)
só op2</t>
        </r>
      </text>
    </comment>
    <comment ref="T65" authorId="0" shapeId="0" xr:uid="{00000000-0006-0000-0000-000015000000}">
      <text>
        <r>
          <rPr>
            <sz val="10"/>
            <color rgb="FF000000"/>
            <rFont val="Arial"/>
            <scheme val="minor"/>
          </rPr>
          <t>======
ID#AAAB55eV1Vk
    (2026-05-07 14:54:04)
perdeu tempo a ir buscar a maquina porque achava que já tinha fixado a estrutura metálica</t>
        </r>
      </text>
    </comment>
    <comment ref="P66" authorId="0" shapeId="0" xr:uid="{00000000-0006-0000-0000-00005D000000}">
      <text>
        <r>
          <rPr>
            <sz val="10"/>
            <color rgb="FF000000"/>
            <rFont val="Arial"/>
            <scheme val="minor"/>
          </rPr>
          <t>======
ID#AAAB51bP9rQ
    (2026-05-07 14:54:04)
quando foi buscar a máquina aproveitou para imprimir a etiqueta</t>
        </r>
      </text>
    </comment>
    <comment ref="J69" authorId="0" shapeId="0" xr:uid="{00000000-0006-0000-0000-000032000000}">
      <text>
        <r>
          <rPr>
            <sz val="10"/>
            <color rgb="FF000000"/>
            <rFont val="Arial"/>
            <scheme val="minor"/>
          </rPr>
          <t>======
ID#AAAB55eV1Tw
    (2026-05-07 14:54:04)
colocou um suporte por baixo da raia</t>
        </r>
      </text>
    </comment>
    <comment ref="N70" authorId="0" shapeId="0" xr:uid="{00000000-0006-0000-0000-000042000000}">
      <text>
        <r>
          <rPr>
            <sz val="10"/>
            <color rgb="FF000000"/>
            <rFont val="Arial"/>
            <scheme val="minor"/>
          </rPr>
          <t>======
ID#AAAB51bP9s4
    (2026-05-07 14:54:04)
esteve a tentar desenrolar o fio</t>
        </r>
      </text>
    </comment>
    <comment ref="V70" authorId="0" shapeId="0" xr:uid="{00000000-0006-0000-0000-000043000000}">
      <text>
        <r>
          <rPr>
            <sz val="10"/>
            <color rgb="FF000000"/>
            <rFont val="Arial"/>
            <scheme val="minor"/>
          </rPr>
          <t>======
ID#AAAB51bP9sw
    (2026-05-07 14:54:04)
apenas pousou a maquina em vez de ir colocar no respetivo sitio</t>
        </r>
      </text>
    </comment>
    <comment ref="AB70" authorId="0" shapeId="0" xr:uid="{00000000-0006-0000-0000-000064000000}">
      <text>
        <r>
          <rPr>
            <sz val="10"/>
            <color rgb="FF000000"/>
            <rFont val="Arial"/>
            <scheme val="minor"/>
          </rPr>
          <t>======
ID#AAAB51bP9qw
    (2026-05-07 14:54:04)
apenas pousou a maquina em vez de ir colocar no respetivo sitio</t>
        </r>
      </text>
    </comment>
    <comment ref="N72" authorId="0" shapeId="0" xr:uid="{00000000-0006-0000-0000-00002A000000}">
      <text>
        <r>
          <rPr>
            <sz val="10"/>
            <color rgb="FF000000"/>
            <rFont val="Arial"/>
            <scheme val="minor"/>
          </rPr>
          <t>======
ID#AAAB55eV1UQ
    (2026-05-07 14:54:04)
houve uma grande diferença de tempo da fase 4 para a fase 5 porque ambos os operadores estiveram a organizar  material para ser o mais pratico e eficiente possivel</t>
        </r>
      </text>
    </comment>
    <comment ref="V72" authorId="0" shapeId="0" xr:uid="{00000000-0006-0000-0000-000059000000}">
      <text>
        <r>
          <rPr>
            <sz val="10"/>
            <color rgb="FF000000"/>
            <rFont val="Arial"/>
            <scheme val="minor"/>
          </rPr>
          <t>======
ID#AAAB51bP9rY
    (2026-05-07 14:54:04)
ao ir buscar as placas pega logo nas duas e faz o posicionamento já com as duas placas de gesso, acontece o mesmo com o aparafusamento</t>
        </r>
      </text>
    </comment>
    <comment ref="AB72" authorId="0" shapeId="0" xr:uid="{00000000-0006-0000-0000-000031000000}">
      <text>
        <r>
          <rPr>
            <sz val="10"/>
            <color rgb="FF000000"/>
            <rFont val="Arial"/>
            <scheme val="minor"/>
          </rPr>
          <t>======
ID#AAAB55eV1T0
    (2026-05-07 14:54:04)
ao ir buscar as placas pega logo nas duas e faz o posicionamento já com as duas placas de gesso, acontece o mesmo com o aparafusamento</t>
        </r>
      </text>
    </comment>
    <comment ref="P73" authorId="0" shapeId="0" xr:uid="{00000000-0006-0000-0000-00005A000000}">
      <text>
        <r>
          <rPr>
            <sz val="10"/>
            <color rgb="FF000000"/>
            <rFont val="Arial"/>
            <scheme val="minor"/>
          </rPr>
          <t>======
ID#AAAB51bP9rc
    (2026-05-07 14:54:04)
demorou bastante tempo porque teve que ir procurar e buscar as placas</t>
        </r>
      </text>
    </comment>
    <comment ref="L74" authorId="0" shapeId="0" xr:uid="{00000000-0006-0000-0000-000063000000}">
      <text>
        <r>
          <rPr>
            <sz val="10"/>
            <color rgb="FF000000"/>
            <rFont val="Arial"/>
            <scheme val="minor"/>
          </rPr>
          <t>======
ID#AAAB51bP9q0
    (2026-05-07 14:54:04)
16:49 - 17:01 neste intervalo de tempo ele já estava a posicionar a placa quando se apercebeu que não tinha cravado a outra parte dos perfis</t>
        </r>
      </text>
    </comment>
    <comment ref="D75" authorId="0" shapeId="0" xr:uid="{00000000-0006-0000-0000-000018000000}">
      <text>
        <r>
          <rPr>
            <sz val="10"/>
            <color rgb="FF000000"/>
            <rFont val="Arial"/>
            <scheme val="minor"/>
          </rPr>
          <t>======
ID#AAAB55eV1VY
    (2026-05-07 14:54:04)
desde ir buscar até ao momento de posicionar, inclusive, foi apenas o op1 que executou</t>
        </r>
      </text>
    </comment>
    <comment ref="J75" authorId="0" shapeId="0" xr:uid="{00000000-0006-0000-0000-000013000000}">
      <text>
        <r>
          <rPr>
            <sz val="10"/>
            <color rgb="FF000000"/>
            <rFont val="Arial"/>
            <scheme val="minor"/>
          </rPr>
          <t>======
ID#AAAB55eV1Vs
    (2026-05-07 14:54:04)
intervenção da qualidade 11:04 - 11:28, mas o operador continuou o seu trabalho</t>
        </r>
      </text>
    </comment>
    <comment ref="N75" authorId="0" shapeId="0" xr:uid="{00000000-0006-0000-0000-00001C000000}">
      <text>
        <r>
          <rPr>
            <sz val="10"/>
            <color rgb="FF000000"/>
            <rFont val="Arial"/>
            <scheme val="minor"/>
          </rPr>
          <t>======
ID#AAAB55eV1VI
    (2026-05-07 14:54:04)
foram verificar o desenho</t>
        </r>
      </text>
    </comment>
    <comment ref="F76" authorId="0" shapeId="0" xr:uid="{00000000-0006-0000-0000-000019000000}">
      <text>
        <r>
          <rPr>
            <sz val="10"/>
            <color rgb="FF000000"/>
            <rFont val="Arial"/>
            <scheme val="minor"/>
          </rPr>
          <t>======
ID#AAAB55eV1VU
    (2026-05-07 14:54:04)
este tempo está dentro do tempo de posicionar</t>
        </r>
      </text>
    </comment>
    <comment ref="R76" authorId="0" shapeId="0" xr:uid="{00000000-0006-0000-0000-00000F000000}">
      <text>
        <r>
          <rPr>
            <sz val="10"/>
            <color rgb="FF000000"/>
            <rFont val="Arial"/>
            <scheme val="minor"/>
          </rPr>
          <t>======
ID#AAAB55eV1V8
    (2026-05-07 14:54:04)
teve que se retirar para ajudar o colega</t>
        </r>
      </text>
    </comment>
    <comment ref="R77" authorId="0" shapeId="0" xr:uid="{00000000-0006-0000-0000-00002E000000}">
      <text>
        <r>
          <rPr>
            <sz val="10"/>
            <color rgb="FF000000"/>
            <rFont val="Arial"/>
            <scheme val="minor"/>
          </rPr>
          <t>======
ID#AAAB55eV1UA
    (2026-05-07 14:54:04)
05:54 - 06:11 - começou a aparafusar mas teve que parar porque se apercebeu que a placa de gesso estava mal cortada ( cerca de 28 mm a menos do que deveria ter )</t>
        </r>
      </text>
    </comment>
    <comment ref="H79" authorId="0" shapeId="0" xr:uid="{00000000-0006-0000-0000-00003B000000}">
      <text>
        <r>
          <rPr>
            <sz val="10"/>
            <color rgb="FF000000"/>
            <rFont val="Arial"/>
            <scheme val="minor"/>
          </rPr>
          <t>======
ID#AAAB51bP9tM
    (2026-05-07 14:54:04)
esta fase demorou mais que  normal pois o operador após já ter aparafusado a primeira placa e parcialmente a segundo verificou que estavam ligeiramente tortas e teve que desaparafusar a segunda e parcialmente a primeira para conseguir ajustar</t>
        </r>
      </text>
    </comment>
    <comment ref="T86" authorId="0" shapeId="0" xr:uid="{00000000-0006-0000-0000-00001D000000}">
      <text>
        <r>
          <rPr>
            <sz val="10"/>
            <color rgb="FF000000"/>
            <rFont val="Arial"/>
            <scheme val="minor"/>
          </rPr>
          <t>======
ID#AAAB55eV1VE
    (2026-05-07 14:54:04)
entre 29:02 e 29:12 o operador teve a verificar com a fita métrica</t>
        </r>
      </text>
    </comment>
    <comment ref="D87" authorId="0" shapeId="0" xr:uid="{00000000-0006-0000-0000-000050000000}">
      <text>
        <r>
          <rPr>
            <sz val="10"/>
            <color rgb="FF000000"/>
            <rFont val="Arial"/>
            <scheme val="minor"/>
          </rPr>
          <t>======
ID#AAAB51bP9sA
    (2026-05-07 14:54:04)
só op2</t>
        </r>
      </text>
    </comment>
    <comment ref="L89" authorId="0" shapeId="0" xr:uid="{00000000-0006-0000-0000-00004F000000}">
      <text>
        <r>
          <rPr>
            <sz val="10"/>
            <color rgb="FF000000"/>
            <rFont val="Arial"/>
            <scheme val="minor"/>
          </rPr>
          <t>======
ID#AAAB51bP9sM
    (2026-05-07 14:54:04)
abastecer parafusos</t>
        </r>
      </text>
    </comment>
    <comment ref="N89" authorId="0" shapeId="0" xr:uid="{00000000-0006-0000-0000-000006000000}">
      <text>
        <r>
          <rPr>
            <sz val="10"/>
            <color rgb="FF000000"/>
            <rFont val="Arial"/>
            <scheme val="minor"/>
          </rPr>
          <t>======
ID#AAAB55eV1Wg
    (2026-05-07 14:54:04)
abastecer parafusos</t>
        </r>
      </text>
    </comment>
    <comment ref="R89" authorId="0" shapeId="0" xr:uid="{00000000-0006-0000-0000-000017000000}">
      <text>
        <r>
          <rPr>
            <sz val="10"/>
            <color rgb="FF000000"/>
            <rFont val="Arial"/>
            <scheme val="minor"/>
          </rPr>
          <t>======
ID#AAAB55eV1Vc
    (2026-05-07 14:54:04)
abastecer parafusos</t>
        </r>
      </text>
    </comment>
    <comment ref="T89" authorId="0" shapeId="0" xr:uid="{00000000-0006-0000-0000-000049000000}">
      <text>
        <r>
          <rPr>
            <sz val="10"/>
            <color rgb="FF000000"/>
            <rFont val="Arial"/>
            <scheme val="minor"/>
          </rPr>
          <t>======
ID#AAAB51bP9sc
    (2026-05-07 14:54:04)
, 30:47 - 30:53 aparafusou um manualmente; entre 30:28 e 31:04 para além de aparafusar também abasteceu parafusos na maquina automática</t>
        </r>
      </text>
    </comment>
    <comment ref="P90" authorId="0" shapeId="0" xr:uid="{00000000-0006-0000-0000-00001B000000}">
      <text>
        <r>
          <rPr>
            <sz val="10"/>
            <color rgb="FF000000"/>
            <rFont val="Arial"/>
            <scheme val="minor"/>
          </rPr>
          <t>======
ID#AAAB55eV1VM
    (2026-05-07 14:54:04)
fez as marcações para que haja menos desperdicio de parafusos mal posicionados  16:26 - 16:59 ; abastecer parafusos</t>
        </r>
      </text>
    </comment>
    <comment ref="R90" authorId="0" shapeId="0" xr:uid="{00000000-0006-0000-0000-000001000000}">
      <text>
        <r>
          <rPr>
            <sz val="10"/>
            <color rgb="FF000000"/>
            <rFont val="Arial"/>
            <scheme val="minor"/>
          </rPr>
          <t>======
ID#AAAB55eV1Ww
    (2026-05-07 14:54:04)
marcou com lapis na placa a medida para saber onde colocar os parafusos para fixar os montantes centrais 18:06 - 18:48</t>
        </r>
      </text>
    </comment>
    <comment ref="T90" authorId="0" shapeId="0" xr:uid="{00000000-0006-0000-0000-000056000000}">
      <text>
        <r>
          <rPr>
            <sz val="10"/>
            <color rgb="FF000000"/>
            <rFont val="Arial"/>
            <scheme val="minor"/>
          </rPr>
          <t>======
ID#AAAB51bP9rg
    (2026-05-07 14:54:04)
marcou com lapis na placa a medida para saber onde colocar os parafusos para fixar os montantes centrais 31:29 - 32:03</t>
        </r>
      </text>
    </comment>
    <comment ref="T97" authorId="0" shapeId="0" xr:uid="{00000000-0006-0000-0000-000051000000}">
      <text>
        <r>
          <rPr>
            <sz val="10"/>
            <color rgb="FF000000"/>
            <rFont val="Arial"/>
            <scheme val="minor"/>
          </rPr>
          <t>======
ID#AAAB51bP9r8
    (2026-05-07 14:54:04)
após remover os fixadores teve que esperar que algum operador viesse ajuda-lo a virar a placa</t>
        </r>
      </text>
    </comment>
    <comment ref="H108" authorId="0" shapeId="0" xr:uid="{00000000-0006-0000-0000-00003C000000}">
      <text>
        <r>
          <rPr>
            <sz val="10"/>
            <color rgb="FF000000"/>
            <rFont val="Arial"/>
            <scheme val="minor"/>
          </rPr>
          <t>======
ID#AAAB51bP9tU
    (2026-05-07 14:54:04)
após virar não cravou a estrutura do outro lado</t>
        </r>
      </text>
    </comment>
    <comment ref="J108" authorId="0" shapeId="0" xr:uid="{00000000-0006-0000-0000-000066000000}">
      <text>
        <r>
          <rPr>
            <sz val="10"/>
            <color rgb="FF000000"/>
            <rFont val="Arial"/>
            <scheme val="minor"/>
          </rPr>
          <t>======
ID#AAAB51bP9qg
    (2026-05-07 14:54:04)
nesta placa já cravou após ter virado, tempos na fase 4</t>
        </r>
      </text>
    </comment>
    <comment ref="F110" authorId="0" shapeId="0" xr:uid="{00000000-0006-0000-0000-000003000000}">
      <text>
        <r>
          <rPr>
            <sz val="10"/>
            <color rgb="FF000000"/>
            <rFont val="Arial"/>
            <scheme val="minor"/>
          </rPr>
          <t>======
ID#AAAB55eV1Wo
    (2026-05-07 14:54:04)
(34:37-ir buscar-34:41)</t>
        </r>
      </text>
    </comment>
    <comment ref="P119" authorId="0" shapeId="0" xr:uid="{00000000-0006-0000-0000-000008000000}">
      <text>
        <r>
          <rPr>
            <sz val="10"/>
            <color rgb="FF000000"/>
            <rFont val="Arial"/>
            <scheme val="minor"/>
          </rPr>
          <t>======
ID#AAAB55eV1WY
    (2026-05-07 14:54:04)
não havia mesas de transporte disponiveis por isso tiveram que colocar nas paletas</t>
        </r>
      </text>
    </comment>
    <comment ref="R119" authorId="0" shapeId="0" xr:uid="{00000000-0006-0000-0000-000035000000}">
      <text>
        <r>
          <rPr>
            <sz val="10"/>
            <color rgb="FF000000"/>
            <rFont val="Arial"/>
            <scheme val="minor"/>
          </rPr>
          <t>======
ID#AAAB55eV1Tk
    (2026-05-07 14:54:04)
não havia mesas de transporte disponiveis por isso tiveram que colocar nas paletas</t>
        </r>
      </text>
    </comment>
    <comment ref="T119" authorId="0" shapeId="0" xr:uid="{00000000-0006-0000-0000-000011000000}">
      <text>
        <r>
          <rPr>
            <sz val="10"/>
            <color rgb="FF000000"/>
            <rFont val="Arial"/>
            <scheme val="minor"/>
          </rPr>
          <t>======
ID#AAAB55eV1V0
    (2026-05-07 14:54:04)
não havia mesas de transporte disponiveis por isso tiveram que colocar nas paletas</t>
        </r>
      </text>
    </comment>
    <comment ref="V119" authorId="0" shapeId="0" xr:uid="{00000000-0006-0000-0000-00000D000000}">
      <text>
        <r>
          <rPr>
            <sz val="10"/>
            <color rgb="FF000000"/>
            <rFont val="Arial"/>
            <scheme val="minor"/>
          </rPr>
          <t>======
ID#AAAB55eV1WE
    (2026-05-07 14:54:04)
as etiquetas são imprimidas todas no fim de estruturar e placar todas as paredes e também são levadas para a próxima etapa todas após estruturar e placar</t>
        </r>
      </text>
    </comment>
    <comment ref="AB119" authorId="0" shapeId="0" xr:uid="{00000000-0006-0000-0000-000023000000}">
      <text>
        <r>
          <rPr>
            <sz val="10"/>
            <color rgb="FF000000"/>
            <rFont val="Arial"/>
            <scheme val="minor"/>
          </rPr>
          <t>======
ID#AAAB55eV1Us
    (2026-05-07 14:54:04)
as etiquetas são imprimidas todas no fim de estruturar e placar todas as paredes e também são levadas para a próxima etapa todas após estruturar e placar</t>
        </r>
      </text>
    </comment>
    <comment ref="D121" authorId="0" shapeId="0" xr:uid="{00000000-0006-0000-0000-000014000000}">
      <text>
        <r>
          <rPr>
            <sz val="10"/>
            <color rgb="FF000000"/>
            <rFont val="Arial"/>
            <scheme val="minor"/>
          </rPr>
          <t>======
ID#AAAB55eV1Vo
    (2026-05-07 14:54:04)
imprimir e colar a etiqueta foi executado apenas pelo op1</t>
        </r>
      </text>
    </comment>
    <comment ref="T121" authorId="0" shapeId="0" xr:uid="{00000000-0006-0000-0000-000062000000}">
      <text>
        <r>
          <rPr>
            <sz val="10"/>
            <color rgb="FF000000"/>
            <rFont val="Arial"/>
            <scheme val="minor"/>
          </rPr>
          <t>======
ID#AAAB51bP9q4
    (2026-05-07 14:54:04)
como as etiquetas ainda não estavam a sair teve que escrever nos perfis</t>
        </r>
      </text>
    </comment>
    <comment ref="U122" authorId="0" shapeId="0" xr:uid="{00000000-0006-0000-0000-000005000000}">
      <text>
        <r>
          <rPr>
            <sz val="10"/>
            <color rgb="FF000000"/>
            <rFont val="Arial"/>
            <scheme val="minor"/>
          </rPr>
          <t>======
ID#AAAB55eV1Wk
    (2026-05-07 14:54:04)
não havia mesas de transporte disponiveis por isso tiveram que colocar nas paletas</t>
        </r>
      </text>
    </comment>
    <comment ref="D123" authorId="0" shapeId="0" xr:uid="{00000000-0006-0000-0000-00004B000000}">
      <text>
        <r>
          <rPr>
            <sz val="10"/>
            <color rgb="FF000000"/>
            <rFont val="Arial"/>
            <scheme val="minor"/>
          </rPr>
          <t>======
ID#AAAB51bP9sU
    (2026-05-07 14:54:04)
neste caso as paredes estavam a ser colocadas em cima de paletes devido á acumulação de paredes</t>
        </r>
      </text>
    </comment>
    <comment ref="N123" authorId="0" shapeId="0" xr:uid="{00000000-0006-0000-0000-00002B000000}">
      <text>
        <r>
          <rPr>
            <sz val="10"/>
            <color rgb="FF000000"/>
            <rFont val="Arial"/>
            <scheme val="minor"/>
          </rPr>
          <t>======
ID#AAAB55eV1UM
    (2026-05-07 14:54:04)
colocar parede nas paletes</t>
        </r>
      </text>
    </comment>
    <comment ref="V123" authorId="0" shapeId="0" xr:uid="{00000000-0006-0000-0000-000067000000}">
      <text>
        <r>
          <rPr>
            <sz val="10"/>
            <color rgb="FF000000"/>
            <rFont val="Arial"/>
            <scheme val="minor"/>
          </rPr>
          <t>======
ID#AAAB51bP9qo
    (2026-05-07 14:54:04)
colocou a parede do outro lado do gabri</t>
        </r>
      </text>
    </comment>
    <comment ref="AB123" authorId="0" shapeId="0" xr:uid="{00000000-0006-0000-0000-000058000000}">
      <text>
        <r>
          <rPr>
            <sz val="10"/>
            <color rgb="FF000000"/>
            <rFont val="Arial"/>
            <scheme val="minor"/>
          </rPr>
          <t>======
ID#AAAB51bP9ro
    (2026-05-07 14:54:04)
colocou a parede do outro lado do gabri</t>
        </r>
      </text>
    </comment>
    <comment ref="D125" authorId="0" shapeId="0" xr:uid="{00000000-0006-0000-0000-000061000000}">
      <text>
        <r>
          <rPr>
            <sz val="10"/>
            <color rgb="FF000000"/>
            <rFont val="Arial"/>
            <scheme val="minor"/>
          </rPr>
          <t>======
ID#AAAB51bP9q8
    (2026-05-07 14:54:04)
apenas o op2 voltou neste momento ao local de trabalho</t>
        </r>
      </text>
    </comment>
    <comment ref="O128" authorId="0" shapeId="0" xr:uid="{00000000-0006-0000-0000-000057000000}">
      <text>
        <r>
          <rPr>
            <sz val="10"/>
            <color rgb="FF000000"/>
            <rFont val="Arial"/>
            <scheme val="minor"/>
          </rPr>
          <t>======
ID#AAAB51bP9rs
    (2026-05-07 14:54:04)
só op2</t>
        </r>
      </text>
    </comment>
    <comment ref="T130" authorId="0" shapeId="0" xr:uid="{00000000-0006-0000-0000-00003D000000}">
      <text>
        <r>
          <rPr>
            <sz val="10"/>
            <color rgb="FF000000"/>
            <rFont val="Arial"/>
            <scheme val="minor"/>
          </rPr>
          <t>======
ID#AAAB51bP9tQ
    (2026-05-07 14:54:04)
22:44 - 36:34</t>
        </r>
      </text>
    </comment>
    <comment ref="P132" authorId="0" shapeId="0" xr:uid="{00000000-0006-0000-0000-00005B000000}">
      <text>
        <r>
          <rPr>
            <sz val="10"/>
            <color rgb="FF000000"/>
            <rFont val="Arial"/>
            <scheme val="minor"/>
          </rPr>
          <t>======
ID#AAAB51bP9rU
    (2026-05-07 14:54:04)
TOTAL + GABARI</t>
        </r>
      </text>
    </comment>
    <comment ref="Q132" authorId="0" shapeId="0" xr:uid="{00000000-0006-0000-0000-00005C000000}">
      <text>
        <r>
          <rPr>
            <sz val="10"/>
            <color rgb="FF000000"/>
            <rFont val="Arial"/>
            <scheme val="minor"/>
          </rPr>
          <t>======
ID#AAAB51bP9rI
    (2026-05-07 14:54:04)
TOTAL + GABARI</t>
        </r>
      </text>
    </comment>
    <comment ref="D135" authorId="0" shapeId="0" xr:uid="{00000000-0006-0000-0000-000025000000}">
      <text>
        <r>
          <rPr>
            <sz val="10"/>
            <color rgb="FF000000"/>
            <rFont val="Arial"/>
            <scheme val="minor"/>
          </rPr>
          <t>======
ID#AAAB55eV1Uo
    (2026-05-07 14:54:04)
HUGO</t>
        </r>
      </text>
    </comment>
    <comment ref="C174" authorId="0" shapeId="0" xr:uid="{00000000-0006-0000-0000-000012000000}">
      <text>
        <r>
          <rPr>
            <sz val="10"/>
            <color rgb="FF000000"/>
            <rFont val="Arial"/>
            <scheme val="minor"/>
          </rPr>
          <t>======
ID#AAAB55eV1Vw
    (2026-05-07 14:54:04)
porque a mesa onde está a ser feita a parede não dá para medir a parte da placa que fica para fora da estrutura metálica então são colocados dois pedaços de madeira na medida desse mesmo espaço</t>
        </r>
      </text>
    </comment>
    <comment ref="D176" authorId="0" shapeId="0" xr:uid="{00000000-0006-0000-0000-000002000000}">
      <text>
        <r>
          <rPr>
            <sz val="10"/>
            <color rgb="FF000000"/>
            <rFont val="Arial"/>
            <scheme val="minor"/>
          </rPr>
          <t>======
ID#AAAB55eV1W0
    (2026-05-07 14:54:04)
entre as 06:05 e as 06:26 teve que se ausentar para ir ajudar o colega a virar a parede dele pois estavam ambos a trabalhar sozinhos, um em cada gabari</t>
        </r>
      </text>
    </comment>
    <comment ref="D179" authorId="0" shapeId="0" xr:uid="{00000000-0006-0000-0000-000024000000}">
      <text>
        <r>
          <rPr>
            <sz val="10"/>
            <color rgb="FF000000"/>
            <rFont val="Arial"/>
            <scheme val="minor"/>
          </rPr>
          <t>======
ID#AAAB55eV1Uk
    (2026-05-07 14:54:04)
entre as 7:00 e as 7:31 teve que se ausentar para ajudar o colega a levar o produto para colocar na palete</t>
        </r>
      </text>
    </comment>
    <comment ref="D202" authorId="0" shapeId="0" xr:uid="{00000000-0006-0000-0000-000027000000}">
      <text>
        <r>
          <rPr>
            <sz val="10"/>
            <color rgb="FF000000"/>
            <rFont val="Arial"/>
            <scheme val="minor"/>
          </rPr>
          <t>======
ID#AAAB55eV1Uc
    (2026-05-07 14:54:04)
11:33 - 11:38 tempo de colocar as placas para medir os 2 mm, tal igual ao outro lado; 11:41 é quando ele volta a ajustar</t>
        </r>
      </text>
    </comment>
    <comment ref="D225" authorId="0" shapeId="0" xr:uid="{00000000-0006-0000-0000-000045000000}">
      <text>
        <r>
          <rPr>
            <sz val="10"/>
            <color rgb="FF000000"/>
            <rFont val="Arial"/>
            <scheme val="minor"/>
          </rPr>
          <t>======
ID#AAAB51bP9so
    (2026-05-07 14:54:04)
teve que abastecer os parafusos</t>
        </r>
      </text>
    </comment>
    <comment ref="C227" authorId="0" shapeId="0" xr:uid="{00000000-0006-0000-0000-000047000000}">
      <text>
        <r>
          <rPr>
            <sz val="10"/>
            <color rgb="FF000000"/>
            <rFont val="Arial"/>
            <scheme val="minor"/>
          </rPr>
          <t>======
ID#AAAB51bP9sk
    (2026-05-07 14:54:04)
19:04 - 19:18 , teve que se ausentar para ajudar o colega a virar a parede</t>
        </r>
      </text>
    </comment>
    <comment ref="D236" authorId="0" shapeId="0" xr:uid="{00000000-0006-0000-0000-000052000000}">
      <text>
        <r>
          <rPr>
            <sz val="10"/>
            <color rgb="FF000000"/>
            <rFont val="Arial"/>
            <scheme val="minor"/>
          </rPr>
          <t>======
ID#AAAB51bP9r4
    (2026-05-07 14:54:04)
quem imprimiu e colocou a etiqueta foi o operador Luís</t>
        </r>
      </text>
    </comment>
    <comment ref="D238" authorId="0" shapeId="0" xr:uid="{00000000-0006-0000-0000-000048000000}">
      <text>
        <r>
          <rPr>
            <sz val="10"/>
            <color rgb="FF000000"/>
            <rFont val="Arial"/>
            <scheme val="minor"/>
          </rPr>
          <t>======
ID#AAAB51bP9sg
    (2026-05-07 14:54:04)
destravar mesa 21:40 - 21:43</t>
        </r>
      </text>
    </comment>
    <comment ref="A246" authorId="0" shapeId="0" xr:uid="{00000000-0006-0000-0000-00003A000000}">
      <text>
        <r>
          <rPr>
            <sz val="10"/>
            <color rgb="FF000000"/>
            <rFont val="Arial"/>
            <scheme val="minor"/>
          </rPr>
          <t>======
ID#AAAB51bP9tc
    (2026-05-07 14:54:04)
não atualizado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q8ANvOI+wNxQbzK0MOd6f/SL/3Q=="/>
    </ext>
  </extLst>
</comments>
</file>

<file path=xl/sharedStrings.xml><?xml version="1.0" encoding="utf-8"?>
<sst xmlns="http://schemas.openxmlformats.org/spreadsheetml/2006/main" count="1059" uniqueCount="602">
  <si>
    <t>Micro Tarefa</t>
  </si>
  <si>
    <t>PS01_K</t>
  </si>
  <si>
    <t>PCL02_K</t>
  </si>
  <si>
    <t>PG02 - 1</t>
  </si>
  <si>
    <t>PG02 - 2</t>
  </si>
  <si>
    <t>PCT01 - 1</t>
  </si>
  <si>
    <t>PCT01 - 2</t>
  </si>
  <si>
    <t>PS01_W</t>
  </si>
  <si>
    <t>PG04</t>
  </si>
  <si>
    <t>PCL01_W</t>
  </si>
  <si>
    <t>PCK01_W</t>
  </si>
  <si>
    <t>PCL02_W</t>
  </si>
  <si>
    <t>PCK02_W</t>
  </si>
  <si>
    <t>PL01_W</t>
  </si>
  <si>
    <t>ir buscar os perfis</t>
  </si>
  <si>
    <t>colocação de montantes e raias</t>
  </si>
  <si>
    <t>fixar a estrutura</t>
  </si>
  <si>
    <t>op.</t>
  </si>
  <si>
    <t>x</t>
  </si>
  <si>
    <t>medições e ajustes</t>
  </si>
  <si>
    <t xml:space="preserve"> - lado1</t>
  </si>
  <si>
    <t xml:space="preserve"> - lado2</t>
  </si>
  <si>
    <t xml:space="preserve">clinching </t>
  </si>
  <si>
    <t>pegar e colocar placa 1</t>
  </si>
  <si>
    <t>aparafusar</t>
  </si>
  <si>
    <t xml:space="preserve">pegar e colocar placa 2 </t>
  </si>
  <si>
    <t xml:space="preserve">desapertar estrutura </t>
  </si>
  <si>
    <t>lado 1 - op2</t>
  </si>
  <si>
    <t>lado 2 - op1</t>
  </si>
  <si>
    <t>virar</t>
  </si>
  <si>
    <t>imprimir e colar etiqueta</t>
  </si>
  <si>
    <t>encontrar/ir até á palete</t>
  </si>
  <si>
    <t>colocar o produto na palete de madeira</t>
  </si>
  <si>
    <t>transportar mesa gabari novamente até ao inicio</t>
  </si>
  <si>
    <t>TOTAL</t>
  </si>
  <si>
    <t>desapertar gabari - 03:26</t>
  </si>
  <si>
    <t>GABARI MEDIDAS - 00:23 - 04:23</t>
  </si>
  <si>
    <t>Diferença</t>
  </si>
  <si>
    <t>alterar medidas gabari</t>
  </si>
  <si>
    <t>0:00:49 - 0:05:26</t>
  </si>
  <si>
    <t>lixar laterais - 30:54 - 31:05  (lado2), 31:07 - 31:40, 33:20 - 33:40(+/-) (lado1)</t>
  </si>
  <si>
    <t>medições</t>
  </si>
  <si>
    <t>00:02:30 - 0:03:24</t>
  </si>
  <si>
    <t>0:04:50 - 0:05:01</t>
  </si>
  <si>
    <t xml:space="preserve">                                        PAREDE                           Micro Tarefas</t>
  </si>
  <si>
    <t>PG02_W - 1</t>
  </si>
  <si>
    <t>PCL01_k - 1</t>
  </si>
  <si>
    <t>PG03_k - 1</t>
  </si>
  <si>
    <t>PG01_k</t>
  </si>
  <si>
    <t>PCK03_W</t>
  </si>
  <si>
    <t>PCT02_k - 1</t>
  </si>
  <si>
    <t>PCT02_k - 2</t>
  </si>
  <si>
    <t>PCT02_k - 3</t>
  </si>
  <si>
    <t>PP02_k - 1</t>
  </si>
  <si>
    <t>PP02_k - 2</t>
  </si>
  <si>
    <t>PP02_k - 3</t>
  </si>
  <si>
    <t>PL02_w - 1</t>
  </si>
  <si>
    <t>PL02_w - 2</t>
  </si>
  <si>
    <t>PL02_w - 3</t>
  </si>
  <si>
    <t>FASE 1 - PREPARAÇÃO</t>
  </si>
  <si>
    <t>verificar Desenho Técnico (verificar medidas)</t>
  </si>
  <si>
    <t>05:48 - 05:50, 09:39 - 09:44, 10:12 - 10:15, 10:27 - 10:30, 13:56 - 14:00, 14:43 - 14:47</t>
  </si>
  <si>
    <t>01:23 - 01:26, 06:49 - 06:55, 08:39 - 08:44,  12:01 - 12:06, 12:36 - 12:40, 16:19 - 16:24</t>
  </si>
  <si>
    <t>24:14 - 24:17</t>
  </si>
  <si>
    <t>FASE 2 - PREPARAÇÃO DA ESTRUTURA</t>
  </si>
  <si>
    <t>pegar nos perfis</t>
  </si>
  <si>
    <t>montantes</t>
  </si>
  <si>
    <t>00:04 - 00:10</t>
  </si>
  <si>
    <t xml:space="preserve">24:04 - 24:16 </t>
  </si>
  <si>
    <t>30:47 - 31:05</t>
  </si>
  <si>
    <t>01:34 - 01:42</t>
  </si>
  <si>
    <t>08:19 - 08:30</t>
  </si>
  <si>
    <t>15:14 - 15:19</t>
  </si>
  <si>
    <t>02:48 - 03:00</t>
  </si>
  <si>
    <t>06:55 - 07:13</t>
  </si>
  <si>
    <t>00:17 - 00:28</t>
  </si>
  <si>
    <t>22:47 - 23:08</t>
  </si>
  <si>
    <t>01:50 - 01:51, 02:06 - 02:07</t>
  </si>
  <si>
    <t>raias</t>
  </si>
  <si>
    <t>00:14 - 00:20</t>
  </si>
  <si>
    <t>23:59 - 24:01(L1), 24:29 - 24:30(L2)</t>
  </si>
  <si>
    <t>30:38 - 30:42(L1), 30:44 - 30:45(L2)</t>
  </si>
  <si>
    <t>01:44 - 01:46, 01:56 - 01:58</t>
  </si>
  <si>
    <t>08:35 - 08:38</t>
  </si>
  <si>
    <t>15:22 - 15:23, 15:34 - 15:35</t>
  </si>
  <si>
    <t>02:09 - 02:12</t>
  </si>
  <si>
    <t>00:48 - 00:57</t>
  </si>
  <si>
    <t>00:12 - 00:13</t>
  </si>
  <si>
    <t>já estavam na mesa de gabari</t>
  </si>
  <si>
    <t>01:52 - 01:53, 01:58 - 01:59</t>
  </si>
  <si>
    <t>colocar perfis no gabari</t>
  </si>
  <si>
    <t>00:11 - 00:14, 00:27 - 00:35</t>
  </si>
  <si>
    <t>24:16 - 24:27</t>
  </si>
  <si>
    <t>31:05 - 31:17</t>
  </si>
  <si>
    <t>01:42 - 01:44, 01:48 - 01:55</t>
  </si>
  <si>
    <t>08:30 - 08:34</t>
  </si>
  <si>
    <t>15:19 - 15:22, 15:27 - 15:33</t>
  </si>
  <si>
    <t>03:22 - 03:50</t>
  </si>
  <si>
    <t>07:13 - 07:23, 07:30 - 07:31</t>
  </si>
  <si>
    <t>00:28 - 00:41</t>
  </si>
  <si>
    <t>23:09 - 23:14, 23:16 - 23:20</t>
  </si>
  <si>
    <t>01:51 - 01:52, 02:07 - 02:13</t>
  </si>
  <si>
    <t>00:21 - 00:24, 00:31 - 00:38</t>
  </si>
  <si>
    <t>24:01 - 24:04 (L1), 24:30 - 24:43(L2)</t>
  </si>
  <si>
    <t>30:42 - 30:44(L1), 30:45 - 30:46(L2)</t>
  </si>
  <si>
    <t>01:46 - 01:48, 01:58 - 02:01</t>
  </si>
  <si>
    <t>08:38 - 09:08</t>
  </si>
  <si>
    <t>15:23 - 15:26, 15:35 - 15:45</t>
  </si>
  <si>
    <t>02:12 - 02:13, 03:51 - 03:55</t>
  </si>
  <si>
    <t xml:space="preserve">00:57 - 01:04, 01:13 - 01:16, 06:27 - 06:29, 07:34 - 07:39 </t>
  </si>
  <si>
    <t>00:13 - 00:16, 00:45 - 00:56</t>
  </si>
  <si>
    <t>22:44 - 22:45, 23:24 - 23:30</t>
  </si>
  <si>
    <t>01:53 - 01:58, 01:59 - 02:01</t>
  </si>
  <si>
    <t>colocar montantes centrais</t>
  </si>
  <si>
    <t xml:space="preserve">pegar </t>
  </si>
  <si>
    <t>01:36 - 01:42</t>
  </si>
  <si>
    <t>este montante já veio com os restantes no início</t>
  </si>
  <si>
    <t>09:44 - 10:05</t>
  </si>
  <si>
    <t>ao mesmo tempo que trouxe os restantes montantes</t>
  </si>
  <si>
    <t>00:05 - 00:11</t>
  </si>
  <si>
    <t>02:01 - 02:03</t>
  </si>
  <si>
    <t xml:space="preserve">colocar </t>
  </si>
  <si>
    <t>01:45 - 01:54</t>
  </si>
  <si>
    <t>24:48 - 24:57</t>
  </si>
  <si>
    <t>31:17 - 31:29</t>
  </si>
  <si>
    <t>10:16 - 10:22</t>
  </si>
  <si>
    <t>07:41 - 08:01</t>
  </si>
  <si>
    <t>01:00 -  01:16</t>
  </si>
  <si>
    <t>23:33 - 23:57</t>
  </si>
  <si>
    <t>02:03 - 02:06</t>
  </si>
  <si>
    <t>FASE 3 - MONTAGEM DA ESTRUTURA</t>
  </si>
  <si>
    <t xml:space="preserve">fixar estrutura c/ fixadores </t>
  </si>
  <si>
    <t>lado 1</t>
  </si>
  <si>
    <t>00:37 - 01:26</t>
  </si>
  <si>
    <t>24:34 - 24:47</t>
  </si>
  <si>
    <t>31:19 - 31:30</t>
  </si>
  <si>
    <t>02:54 - 03:26</t>
  </si>
  <si>
    <t>10:06 - 10:28</t>
  </si>
  <si>
    <t>16:24 - 16:43</t>
  </si>
  <si>
    <t>05:25 - 05:38</t>
  </si>
  <si>
    <t>08:19 - 08:32</t>
  </si>
  <si>
    <t>01:38 - 01:51</t>
  </si>
  <si>
    <t>25:03 - 25:12</t>
  </si>
  <si>
    <t xml:space="preserve">lado 2 </t>
  </si>
  <si>
    <t>00:40 - 01:12</t>
  </si>
  <si>
    <t>24:53 - 25:04</t>
  </si>
  <si>
    <t>31:32 - 31:44</t>
  </si>
  <si>
    <t>04:49 - 05:18</t>
  </si>
  <si>
    <t>08:03 - 08:15</t>
  </si>
  <si>
    <t>01:55 - 02:07</t>
  </si>
  <si>
    <t>25:17 - 25:26</t>
  </si>
  <si>
    <t>op1</t>
  </si>
  <si>
    <t>L1</t>
  </si>
  <si>
    <t>op2</t>
  </si>
  <si>
    <t>lado2</t>
  </si>
  <si>
    <t>L2</t>
  </si>
  <si>
    <t xml:space="preserve"> L1 e L2</t>
  </si>
  <si>
    <t>fazer as medições p/ alinhar os montante(s) central(is)</t>
  </si>
  <si>
    <t>01:28 - 01:35</t>
  </si>
  <si>
    <t>25:12 - 25:21</t>
  </si>
  <si>
    <t>31:34 - 31:39</t>
  </si>
  <si>
    <t>10:46 - 10:52</t>
  </si>
  <si>
    <t>08:47 - 08:54</t>
  </si>
  <si>
    <t>02:16 - 02:21</t>
  </si>
  <si>
    <t>24:06 - 24:13</t>
  </si>
  <si>
    <t>02:45 - 02:48</t>
  </si>
  <si>
    <t>01:20 - 01:29</t>
  </si>
  <si>
    <t>25:13 - 25:17, 25:21 - 25:27</t>
  </si>
  <si>
    <t>31:49 - 31:53 , 32:01 - 32:05</t>
  </si>
  <si>
    <t>10:39 - 10:43</t>
  </si>
  <si>
    <t>09:09 - 09:21</t>
  </si>
  <si>
    <t>02:28 - 02:35</t>
  </si>
  <si>
    <t>24:28 - 24:44</t>
  </si>
  <si>
    <t>02:41 - 02:45</t>
  </si>
  <si>
    <t>lado 2</t>
  </si>
  <si>
    <t>L1 e L2</t>
  </si>
  <si>
    <t>FASE 4 - CRAVAÇÃO</t>
  </si>
  <si>
    <t>ir buscar</t>
  </si>
  <si>
    <t>02:04 - 02:11, op1</t>
  </si>
  <si>
    <t>25:23 - 25:27 (op1)</t>
  </si>
  <si>
    <t>31:43 - 31:47</t>
  </si>
  <si>
    <t>02:17 - 02:23</t>
  </si>
  <si>
    <t>09:12 - 09:16, 10:32 - 10:37</t>
  </si>
  <si>
    <t>15:49 - 15:55</t>
  </si>
  <si>
    <t>11:19 - 11:27</t>
  </si>
  <si>
    <t>09:34 - 09:49</t>
  </si>
  <si>
    <t>02:47 - 02:54</t>
  </si>
  <si>
    <t xml:space="preserve">25:30 - 25:32 </t>
  </si>
  <si>
    <t>02:14 - 02:20, 02:55 - 02:58</t>
  </si>
  <si>
    <t>cravar</t>
  </si>
  <si>
    <t>02:12 - 02:17 , op1</t>
  </si>
  <si>
    <t>25:27 - 25:31 (op1)</t>
  </si>
  <si>
    <t>31:47 - 31:51</t>
  </si>
  <si>
    <t>02:24 - 02:28</t>
  </si>
  <si>
    <t>09:16 -09:23, 10:38 - 10:43</t>
  </si>
  <si>
    <t>15:55 - 15:58</t>
  </si>
  <si>
    <t>11:27 - 11:36</t>
  </si>
  <si>
    <t>09:49 - 09:54</t>
  </si>
  <si>
    <t>02:54 - 03:02</t>
  </si>
  <si>
    <t>25:32 - 25:42</t>
  </si>
  <si>
    <t xml:space="preserve">02:20 - 02:29, 02:58 - 03:00 </t>
  </si>
  <si>
    <t>02:23 - 02:32 , op2</t>
  </si>
  <si>
    <t>25:35 - 25:44 (op2)</t>
  </si>
  <si>
    <t>32:12 - 32:19</t>
  </si>
  <si>
    <t>02:32 - 02:40</t>
  </si>
  <si>
    <t>09:28 - 09:38, 10:48 - 10:52</t>
  </si>
  <si>
    <t>16:02 - 16:07</t>
  </si>
  <si>
    <t>11:40 - 11:56</t>
  </si>
  <si>
    <t>09:58 - 10:06</t>
  </si>
  <si>
    <t>03:08 - 03:15</t>
  </si>
  <si>
    <t>25:48 - 25:58</t>
  </si>
  <si>
    <t>02:30 - 02:35, 03:02 - 03:03</t>
  </si>
  <si>
    <t>levar</t>
  </si>
  <si>
    <t>02:32 - 02:37, op2</t>
  </si>
  <si>
    <t>25:44 - 25:52 (op2)</t>
  </si>
  <si>
    <t>32:19 - 32:25</t>
  </si>
  <si>
    <t>02:40 - 02:42</t>
  </si>
  <si>
    <t>09:38 - 09:40, 10:52 - 10:55</t>
  </si>
  <si>
    <t>16:07 - 16:09</t>
  </si>
  <si>
    <t>11:56 - 12:16</t>
  </si>
  <si>
    <t>10:06 - 10:13</t>
  </si>
  <si>
    <t>03:15 - 03:21</t>
  </si>
  <si>
    <t>25:58 - 26:10</t>
  </si>
  <si>
    <t>02:35 - 02:38</t>
  </si>
  <si>
    <t xml:space="preserve">FASE 5 - PLACA 1 </t>
  </si>
  <si>
    <t>03:02 - 03:09</t>
  </si>
  <si>
    <t>25:33 - 25:44</t>
  </si>
  <si>
    <t>32:07 - 32:14</t>
  </si>
  <si>
    <t>03:30 - 03:34</t>
  </si>
  <si>
    <t>10:55 - 10:58</t>
  </si>
  <si>
    <t>16:45 - 16:48, 17:22 - 17:23</t>
  </si>
  <si>
    <t>13:30 - 13:40</t>
  </si>
  <si>
    <t>10:13 - 11:49</t>
  </si>
  <si>
    <t>03:22 - 03:57</t>
  </si>
  <si>
    <t>26:10 - 26:28</t>
  </si>
  <si>
    <t>03:27 - 03:39</t>
  </si>
  <si>
    <t>colocar</t>
  </si>
  <si>
    <t>03:09 - 03:12</t>
  </si>
  <si>
    <t>25:44 - 25:51</t>
  </si>
  <si>
    <t>32:14 - 32:25</t>
  </si>
  <si>
    <t>03:34 - 03:35</t>
  </si>
  <si>
    <t>10:58 - 10:59</t>
  </si>
  <si>
    <t>16:48 - 16:49, 17:23 - 17:24</t>
  </si>
  <si>
    <t>13:40 - 13:44</t>
  </si>
  <si>
    <t>11:49 - 11:54</t>
  </si>
  <si>
    <t>03:57 - 04:02</t>
  </si>
  <si>
    <t>26:28 - 26:34</t>
  </si>
  <si>
    <t>03:39 - 03:41</t>
  </si>
  <si>
    <t>posicionar</t>
  </si>
  <si>
    <t>03:12 - 03:16 , 03:27 - 03:34, 03:44 - 03:51</t>
  </si>
  <si>
    <t>25:51 - 25:55</t>
  </si>
  <si>
    <t>32:25 - 32:38</t>
  </si>
  <si>
    <t>03:35 - 03:49</t>
  </si>
  <si>
    <t>10:59 - 11:41</t>
  </si>
  <si>
    <t>17:24 - 17:34, 17:38 - 17:51</t>
  </si>
  <si>
    <t>13:44 - 13:55</t>
  </si>
  <si>
    <t>11:54 - 11:59, 12:08 - 12:29</t>
  </si>
  <si>
    <t>04:02 - 04:06, 04:43 - 04:53, 05:05 - 05:13, 12:21 - 14:20</t>
  </si>
  <si>
    <t>26:34 - 26:48, 26:59 - 27:27</t>
  </si>
  <si>
    <t>03:41 - 04:04</t>
  </si>
  <si>
    <t xml:space="preserve">medições </t>
  </si>
  <si>
    <t>03:19 - 03:26, 03:33 - 03:42, 03:53 - 03:55</t>
  </si>
  <si>
    <t>25:56 - 26:01</t>
  </si>
  <si>
    <t>*32:29 - 32:34</t>
  </si>
  <si>
    <t>03:51  - 03:58</t>
  </si>
  <si>
    <t>11:41 - 11:45</t>
  </si>
  <si>
    <t>17:35 - 17:37</t>
  </si>
  <si>
    <t>14:01 - 14:06</t>
  </si>
  <si>
    <t>12:32 - 12:36, 12:41 - 12:54</t>
  </si>
  <si>
    <t>04:09 - 04:11, 05:02 - 05:05, 05:13 - 05:48</t>
  </si>
  <si>
    <t>26:48 - 26:54</t>
  </si>
  <si>
    <t>aparafusar (parcial)</t>
  </si>
  <si>
    <t>04:00 - 04:02</t>
  </si>
  <si>
    <t>26:05 - 26:10</t>
  </si>
  <si>
    <t>32:39 - 32:42</t>
  </si>
  <si>
    <t>04:01 - 04:13</t>
  </si>
  <si>
    <t>11:52 - 12:05</t>
  </si>
  <si>
    <t>17:58 - 18:14</t>
  </si>
  <si>
    <t>14:08 - 14:12</t>
  </si>
  <si>
    <t>13:01 - 13:19</t>
  </si>
  <si>
    <t>14:25 - 14:45</t>
  </si>
  <si>
    <t>27:33 - 27:54</t>
  </si>
  <si>
    <t>04:06 - 04:40</t>
  </si>
  <si>
    <t xml:space="preserve">FASE 6 - PLACA 2 </t>
  </si>
  <si>
    <t>04:14 - 04:16, 05:34 - 05:35</t>
  </si>
  <si>
    <t>12:18 - 12:21</t>
  </si>
  <si>
    <t>18:16 - 18:19</t>
  </si>
  <si>
    <t>14:12 - 14:19</t>
  </si>
  <si>
    <t>13:21 - 13:52</t>
  </si>
  <si>
    <t>14:48 - 15:05</t>
  </si>
  <si>
    <t>27:57 - 28:11</t>
  </si>
  <si>
    <t>04:05 - 04:16</t>
  </si>
  <si>
    <t>32:42 - 32:46</t>
  </si>
  <si>
    <t>04:10 - 04:22</t>
  </si>
  <si>
    <t>26:11 - 26:28, 26:36 - 26:41</t>
  </si>
  <si>
    <t>32:43 - 32:50</t>
  </si>
  <si>
    <t>04:16 - 04:17, 05:37 - 05:39</t>
  </si>
  <si>
    <t>12:21 - 12:22</t>
  </si>
  <si>
    <t>18:19 - 18:20</t>
  </si>
  <si>
    <t>14:19 - 14:23</t>
  </si>
  <si>
    <t>13:52 - 13:55</t>
  </si>
  <si>
    <t>15:05 - 15:13</t>
  </si>
  <si>
    <t>28:11 - 28:18</t>
  </si>
  <si>
    <t>04:17 - 04:18</t>
  </si>
  <si>
    <t>32:46 - 32:48</t>
  </si>
  <si>
    <t>04:20 - 04:28 (teve que girar a placa)- 04:31 - 04:40</t>
  </si>
  <si>
    <t>26:28 - 26:35, 26:41 - 26:44</t>
  </si>
  <si>
    <t>32:50 - 32:53</t>
  </si>
  <si>
    <t>ajustar</t>
  </si>
  <si>
    <t>04:17 - 04:39, 04:49 - 04:57, 05:18 - 05:23, 05:39 - 05:58</t>
  </si>
  <si>
    <t>12:22 - 12:44, 12:58 - 13:00</t>
  </si>
  <si>
    <t>18:20 - 18:49</t>
  </si>
  <si>
    <t>14:23 - 14:42, 14:50 - 15:23</t>
  </si>
  <si>
    <t>13:55 - 14:30</t>
  </si>
  <si>
    <t>15:13 - 16:34</t>
  </si>
  <si>
    <t>28:25 - 28:34, 28:45 - 29:02, 29:12 - 29:14</t>
  </si>
  <si>
    <t>placa 2.1</t>
  </si>
  <si>
    <t>04:19 - 04:43</t>
  </si>
  <si>
    <t xml:space="preserve">27:21 - 27:30 </t>
  </si>
  <si>
    <t>32:48 - 33:02</t>
  </si>
  <si>
    <t>placa2.2</t>
  </si>
  <si>
    <t>04:40 - 04:48   -    05:03 - 05:13</t>
  </si>
  <si>
    <t>26:44 - 27:59</t>
  </si>
  <si>
    <t>33:17 - 33:34</t>
  </si>
  <si>
    <t>aparafusar (totalmente)</t>
  </si>
  <si>
    <t>04:48 - 05:03(parou para fazer alguns ajustes), 05:15 - 05:59</t>
  </si>
  <si>
    <t>28:02 - 29:08</t>
  </si>
  <si>
    <t>33:05 - 33:18(placa2.1), 33:35 - 33:48 (placa2.2)</t>
  </si>
  <si>
    <t>04:41 - 04:49, 05:30 - 05:36, 06:01 - 07:01</t>
  </si>
  <si>
    <t>12:53 - 12:58, 13:01 - 13:49</t>
  </si>
  <si>
    <t>18:50 - 19:49</t>
  </si>
  <si>
    <t>15:32 - 18:08</t>
  </si>
  <si>
    <t xml:space="preserve">14:33 - 16:10, </t>
  </si>
  <si>
    <t>16:38 - 18:03, 18:52 - 19:11</t>
  </si>
  <si>
    <t>29:18 - 30:28, 31:04 - 31:16, 32:11 - 32:28</t>
  </si>
  <si>
    <t>aparafusar montantes centrais</t>
  </si>
  <si>
    <t>17:11 - 17:54</t>
  </si>
  <si>
    <t>lado1</t>
  </si>
  <si>
    <t>05:27 - 05:32, 05:35 - 05:44 (op1)</t>
  </si>
  <si>
    <t>*29:08 - 29:14</t>
  </si>
  <si>
    <t>34:05 - 34:10</t>
  </si>
  <si>
    <t>19:13 - 19:18, 19:30 - 19:41</t>
  </si>
  <si>
    <t>32:30 - 32:35, 32:46 - 33:01</t>
  </si>
  <si>
    <t>05:34 - 05:37(op2), 05:48 - 05:52 (op1), 05:52 - 05:59(op2)</t>
  </si>
  <si>
    <t>*28:55 - 29:08</t>
  </si>
  <si>
    <t>33:50 - 34:09</t>
  </si>
  <si>
    <t>19:19 - 19:25, 19:41 - 19:50</t>
  </si>
  <si>
    <t>32:36 - 32:41, 33:02 - 33:14</t>
  </si>
  <si>
    <t>remover parafusos mal colocados</t>
  </si>
  <si>
    <t>18:00 - 18:07, 18:29 - 18:38, 18:55 - 18:58</t>
  </si>
  <si>
    <t>19:56 - 20:02</t>
  </si>
  <si>
    <t>33:20 - 33:30</t>
  </si>
  <si>
    <t xml:space="preserve">05:55 - 06:00 </t>
  </si>
  <si>
    <t>04:58 - 05:00, 05:03 - 05:10, 05:11 - 05:14</t>
  </si>
  <si>
    <t xml:space="preserve">06:03 - 06:06 </t>
  </si>
  <si>
    <t>34:12 - 34:20</t>
  </si>
  <si>
    <t>18:14 - 18:46</t>
  </si>
  <si>
    <t>FASE 7 - TRANSIÇÃO</t>
  </si>
  <si>
    <t>remover fixadores</t>
  </si>
  <si>
    <t>06:01 - 06:10 (op1)</t>
  </si>
  <si>
    <t>29:18 - 29:28</t>
  </si>
  <si>
    <t>34:16 - 34:27</t>
  </si>
  <si>
    <t>07:06 - 07:22</t>
  </si>
  <si>
    <t>13:56 - 14:06</t>
  </si>
  <si>
    <t>19:54 - 20:03</t>
  </si>
  <si>
    <t>19:13 - 19:25</t>
  </si>
  <si>
    <t>18:12 - 18:20</t>
  </si>
  <si>
    <t>20:18 - 20:29</t>
  </si>
  <si>
    <t>33:33 - 33:45</t>
  </si>
  <si>
    <t>06:20 - 06:22 (op1-1parafuso)</t>
  </si>
  <si>
    <t>29:21 - 29:28</t>
  </si>
  <si>
    <t>34:23 - 34:29</t>
  </si>
  <si>
    <t>18:50 - 19:05</t>
  </si>
  <si>
    <t>19:02 - 19:10</t>
  </si>
  <si>
    <t>20:08 - 20:13</t>
  </si>
  <si>
    <t>33:51 - 33:57</t>
  </si>
  <si>
    <t xml:space="preserve">operador 1 </t>
  </si>
  <si>
    <t xml:space="preserve">operador 2 </t>
  </si>
  <si>
    <t>06:12 - 06:27 (op2)</t>
  </si>
  <si>
    <t>virar parede</t>
  </si>
  <si>
    <t>levantar</t>
  </si>
  <si>
    <t>06:37 - 06:38</t>
  </si>
  <si>
    <t>29:32 - 29:33</t>
  </si>
  <si>
    <t>34:32 - 34:33</t>
  </si>
  <si>
    <t>02:42 - 02:43</t>
  </si>
  <si>
    <t>09:40 - 09:41</t>
  </si>
  <si>
    <t>16:09 - 16:10</t>
  </si>
  <si>
    <t>19:33 - 19:34</t>
  </si>
  <si>
    <t>19:42 - 19:43</t>
  </si>
  <si>
    <t>20:51 - 20:52</t>
  </si>
  <si>
    <t xml:space="preserve">virar </t>
  </si>
  <si>
    <t>06:38 - 06:42</t>
  </si>
  <si>
    <t>29:33 - 29:35</t>
  </si>
  <si>
    <t>34:33 - 34:36</t>
  </si>
  <si>
    <t>02:43 - 02:44</t>
  </si>
  <si>
    <t>09:41 - 09:44</t>
  </si>
  <si>
    <t>16:10 - 16:12</t>
  </si>
  <si>
    <t>19:34 - 19:37</t>
  </si>
  <si>
    <t>19:43 - 19:47</t>
  </si>
  <si>
    <t>20:52 - 20:55</t>
  </si>
  <si>
    <t>pousar</t>
  </si>
  <si>
    <t>06:42 - 06:43</t>
  </si>
  <si>
    <t>29:35 - 29:36</t>
  </si>
  <si>
    <t>34:36 - 34:37</t>
  </si>
  <si>
    <t>02:44 - 02:46</t>
  </si>
  <si>
    <t>09:44 - 09:45</t>
  </si>
  <si>
    <t>16:12 - 16:13</t>
  </si>
  <si>
    <t>19:37 - 19:39</t>
  </si>
  <si>
    <t>19:47 - 19:48</t>
  </si>
  <si>
    <t>20:55 - 20:57</t>
  </si>
  <si>
    <t>34:36 - 34:38</t>
  </si>
  <si>
    <t>FASE 8 - CRAVAÇÃO</t>
  </si>
  <si>
    <t xml:space="preserve">cravar </t>
  </si>
  <si>
    <t>06:57 - 07:03</t>
  </si>
  <si>
    <t>29:41 - 29:46</t>
  </si>
  <si>
    <t>34:41 - 34:45</t>
  </si>
  <si>
    <t>17:09 - 17:13</t>
  </si>
  <si>
    <t>19:44 - 19:50</t>
  </si>
  <si>
    <t>19:57 - 20:05</t>
  </si>
  <si>
    <t>21:05 - 21:11</t>
  </si>
  <si>
    <t>34:51 - 34:57</t>
  </si>
  <si>
    <t>03:05 - 03:09, 03:20 - 03:21</t>
  </si>
  <si>
    <t>07:06 - 07:15</t>
  </si>
  <si>
    <t>29:49 - 29:57</t>
  </si>
  <si>
    <t>34:52 - 35:01</t>
  </si>
  <si>
    <t>17:16 - 17:20</t>
  </si>
  <si>
    <t>19:56 - 20:08</t>
  </si>
  <si>
    <t>20:11 - 20:17</t>
  </si>
  <si>
    <t>21:16 - 21:25</t>
  </si>
  <si>
    <t>35:04 - 35:10</t>
  </si>
  <si>
    <t>03:10 - 03:16, 03:22 - 03:23</t>
  </si>
  <si>
    <t>operador 1</t>
  </si>
  <si>
    <t>lado 1 e 2</t>
  </si>
  <si>
    <t>operador 2</t>
  </si>
  <si>
    <t>lixar se necessário</t>
  </si>
  <si>
    <t>06:55 - 07:12, 07:17 - 07:22, 07:37 - 07:54 (op2)</t>
  </si>
  <si>
    <t>35:16 - 35:27</t>
  </si>
  <si>
    <t>lixar local dos fixadores</t>
  </si>
  <si>
    <t>07:28 - 07:36</t>
  </si>
  <si>
    <t>07:32 - 07:37</t>
  </si>
  <si>
    <t>14:48 - 14:55</t>
  </si>
  <si>
    <t>20:12 - 20:18</t>
  </si>
  <si>
    <t>07:41 - 07:47</t>
  </si>
  <si>
    <t>FASE 9 - LOGÍSTICA</t>
  </si>
  <si>
    <t>imprimir etiqueta</t>
  </si>
  <si>
    <t>o operador do lado imprimiu</t>
  </si>
  <si>
    <t>29:48 - 29:54</t>
  </si>
  <si>
    <t>34:52 - 34:56</t>
  </si>
  <si>
    <t>07:44 - 07:58</t>
  </si>
  <si>
    <t>14:25 - 14:37</t>
  </si>
  <si>
    <t>20:26 - 20:35</t>
  </si>
  <si>
    <t>20:08 - 20:19</t>
  </si>
  <si>
    <t>19:20 - 19:27</t>
  </si>
  <si>
    <t>as restantes etiquetas ainda não estavam no programa</t>
  </si>
  <si>
    <t>colar etiqueta</t>
  </si>
  <si>
    <t>06:49 - 06:51</t>
  </si>
  <si>
    <t>29:59 - 30:02</t>
  </si>
  <si>
    <t>35:04 - 35:09</t>
  </si>
  <si>
    <t>08:03 - 08:05</t>
  </si>
  <si>
    <t>14:42 - 14:45</t>
  </si>
  <si>
    <t>20:39 - 20:41</t>
  </si>
  <si>
    <t>20:30 - 20:32</t>
  </si>
  <si>
    <t>20:42 - 20:44</t>
  </si>
  <si>
    <t>36:07 - 36:09</t>
  </si>
  <si>
    <t>ir buscar mesa de transporte</t>
  </si>
  <si>
    <t>07:55 - 08:05</t>
  </si>
  <si>
    <t>INTERVALO</t>
  </si>
  <si>
    <t xml:space="preserve">pegar e colocar a parede </t>
  </si>
  <si>
    <t>08:21 - 08:33</t>
  </si>
  <si>
    <t>30:07 - 30:19</t>
  </si>
  <si>
    <t>35:33 - 35:45</t>
  </si>
  <si>
    <t>08:05 - 08:12, 08:12 - 08:15</t>
  </si>
  <si>
    <t>14:57 - 15:11</t>
  </si>
  <si>
    <t>20:42 - 20:59</t>
  </si>
  <si>
    <t>20:50 - 21:04</t>
  </si>
  <si>
    <t>22:19 - 22:34</t>
  </si>
  <si>
    <t>36:14 - 36:28</t>
  </si>
  <si>
    <t>04:41 - 04:49</t>
  </si>
  <si>
    <t>transportar parede</t>
  </si>
  <si>
    <t>08:34 - (aparafusar alguns parafusos que faltavam, já com a parede na mesa de transporte) - 10:03</t>
  </si>
  <si>
    <t>voltar ao posto</t>
  </si>
  <si>
    <t>10:03 - 10:07</t>
  </si>
  <si>
    <t>30:19 - 30:34</t>
  </si>
  <si>
    <t>35:45 - 35:51</t>
  </si>
  <si>
    <t>08:15 - 08:19</t>
  </si>
  <si>
    <t>15:11 - 15:14</t>
  </si>
  <si>
    <t>20:59 - 21:09</t>
  </si>
  <si>
    <t>21:04 - 21:10op2, 21:20op1</t>
  </si>
  <si>
    <t>22:34 - 22:40</t>
  </si>
  <si>
    <t>36:28 - 36:34</t>
  </si>
  <si>
    <t>04:49 - 04:53</t>
  </si>
  <si>
    <t>FASE 10 - ALTERAÇÃO DO GABARI</t>
  </si>
  <si>
    <t>00:06 - 02:14, 03:58 - 04:38, --- 05:52 - 06:49, 06:54 - 07:02, 07:42 - 07:50, 07:59 - 08:23, 08:27 - 09:16</t>
  </si>
  <si>
    <t>00:48, 01:05 - 01:11, 01:28 - 06:24</t>
  </si>
  <si>
    <t xml:space="preserve">op 1 - Hugo </t>
  </si>
  <si>
    <t>op 1 - Luís Gonzaga</t>
  </si>
  <si>
    <t>cycle time</t>
  </si>
  <si>
    <t>op 2 - Hugo</t>
  </si>
  <si>
    <t xml:space="preserve">                                                                 PAREDE                      Micro Tarefas</t>
  </si>
  <si>
    <t>PLS01_k</t>
  </si>
  <si>
    <t>00:29 - 00:33</t>
  </si>
  <si>
    <t>000:33 - 01:13</t>
  </si>
  <si>
    <t>00:08 - 00:25</t>
  </si>
  <si>
    <t>01:26 - 01:33</t>
  </si>
  <si>
    <t>01:33 - 02:03 (3 montantes)</t>
  </si>
  <si>
    <t>FASE 3 - FIXAR e CRAVAR</t>
  </si>
  <si>
    <t>marcar medidas dos locais certos dos montantes</t>
  </si>
  <si>
    <t>02:09 - 02:33</t>
  </si>
  <si>
    <t>02:37 - 03:03</t>
  </si>
  <si>
    <t>ajustar os montantes no local certo</t>
  </si>
  <si>
    <t>03:09 - 03:17 (l1)</t>
  </si>
  <si>
    <t>clinching</t>
  </si>
  <si>
    <t>03:16 -03:26</t>
  </si>
  <si>
    <t>03:27 - 03:40</t>
  </si>
  <si>
    <t>03:49 - 04:09</t>
  </si>
  <si>
    <t xml:space="preserve">04:10 - 04:16 </t>
  </si>
  <si>
    <t>aparafusar montantes centrais (autorroscantes)</t>
  </si>
  <si>
    <t>04:32 - 04:35 , 04:46 - 04:49</t>
  </si>
  <si>
    <t>04:35 - 04:46 (tempo entre aparafusar um canto e o outro)</t>
  </si>
  <si>
    <t>á espera do outro operadoor para o ajudar a virar a estrutura</t>
  </si>
  <si>
    <t>04:50 - 05:26</t>
  </si>
  <si>
    <t xml:space="preserve">FASE 4 - VIRAR ESTRUTURA METÁLICA </t>
  </si>
  <si>
    <t>pegar</t>
  </si>
  <si>
    <t>05:27 - 05:28</t>
  </si>
  <si>
    <t>05:28 - 05:31</t>
  </si>
  <si>
    <t>05:31 - 05:33</t>
  </si>
  <si>
    <t>FASE 5 - FIXAR e CRAVAR</t>
  </si>
  <si>
    <t>colocar os pedaços de madeira entre gabari e estrutura metálica</t>
  </si>
  <si>
    <t>05:36 - 05:41</t>
  </si>
  <si>
    <t>05:57 - 06:05  - 06:26 -  06:30</t>
  </si>
  <si>
    <t>06:36 - 06:46</t>
  </si>
  <si>
    <t>06:57 - 07:00</t>
  </si>
  <si>
    <t>07:31 - 07:39</t>
  </si>
  <si>
    <t>07:40 - 07:52</t>
  </si>
  <si>
    <t>07:58 - 08:07</t>
  </si>
  <si>
    <t>08:07 - 08:19</t>
  </si>
  <si>
    <t>aparafusar montantes - os 2 no mesmo canto (autorroscantes)</t>
  </si>
  <si>
    <t>08:34 - 08:52</t>
  </si>
  <si>
    <t xml:space="preserve">*ir de um lado ao outro até ao momento de aparafusar </t>
  </si>
  <si>
    <t>08:52 - 09:11</t>
  </si>
  <si>
    <t>*00:00:19</t>
  </si>
  <si>
    <t>09:12 - 09:34</t>
  </si>
  <si>
    <t>a partir do momento em que acaba de aparafusar até pousar a ferramenta</t>
  </si>
  <si>
    <t>09:34 - 09:39</t>
  </si>
  <si>
    <t>*0:00:05</t>
  </si>
  <si>
    <t>colocar umas peças para que haja um espaço de 2 mm entre a estrutura e o gabari lateralmente, pois não é possivél fazer a medida</t>
  </si>
  <si>
    <t>09:44 - 09:48</t>
  </si>
  <si>
    <t>FASE 6 - PLACAGEM 1</t>
  </si>
  <si>
    <t>placa 1.0</t>
  </si>
  <si>
    <t>09:49 - 09:59</t>
  </si>
  <si>
    <t>placa 1.1</t>
  </si>
  <si>
    <t>11:08 - 11:19</t>
  </si>
  <si>
    <t>09:59 - 10:07</t>
  </si>
  <si>
    <t>11:19 - 11:30</t>
  </si>
  <si>
    <t>10:10 - 10:44</t>
  </si>
  <si>
    <t>11:30 - (11:41) - 12:00</t>
  </si>
  <si>
    <t>aparafusar (parcialmente)</t>
  </si>
  <si>
    <t>10:50 - 11:04</t>
  </si>
  <si>
    <t>12:41 - 12:52</t>
  </si>
  <si>
    <t>12:57 - 13:02</t>
  </si>
  <si>
    <t xml:space="preserve"> FASE 7 - PLACAGEM 2</t>
  </si>
  <si>
    <t>13:49 - 14:09</t>
  </si>
  <si>
    <t>placa 1.3 (a mais pequena)</t>
  </si>
  <si>
    <t>13:01 - 13:10</t>
  </si>
  <si>
    <t>14:09 - 14:17</t>
  </si>
  <si>
    <t>14:42 - 14:50</t>
  </si>
  <si>
    <t>13:10 - 13:12</t>
  </si>
  <si>
    <t>14:17 - 14:24</t>
  </si>
  <si>
    <t>14:50 - 15:12</t>
  </si>
  <si>
    <t>13:12 - 13:14</t>
  </si>
  <si>
    <t>colocar os fixadores</t>
  </si>
  <si>
    <t>13:38 - 13:48 (lateral)</t>
  </si>
  <si>
    <t xml:space="preserve">13:22 - 13:31 </t>
  </si>
  <si>
    <t>15:22 - 18:05, 18:29 - 18:52</t>
  </si>
  <si>
    <t>tirar parafusos mal colocados</t>
  </si>
  <si>
    <t>18:16 - 18:25, 19:23 - 20:02</t>
  </si>
  <si>
    <t>ausentar</t>
  </si>
  <si>
    <t>20:23 - 20:24(lateral)</t>
  </si>
  <si>
    <t xml:space="preserve">20:27 - 20:31 </t>
  </si>
  <si>
    <t>remover os pedaços de madeira entre gabari e estrutura metálica</t>
  </si>
  <si>
    <t xml:space="preserve">remover peças de 2 mm </t>
  </si>
  <si>
    <t>20:57 - 21:10</t>
  </si>
  <si>
    <t>21:14 - 21:21</t>
  </si>
  <si>
    <t>21:31 - 21:34</t>
  </si>
  <si>
    <t>21:38 - 21:54</t>
  </si>
  <si>
    <t>21:54 - 21:59</t>
  </si>
  <si>
    <t>op1 - Hugo</t>
  </si>
  <si>
    <t>Paineis</t>
  </si>
  <si>
    <t>Média de tempo</t>
  </si>
  <si>
    <t>Quantidade tempos</t>
  </si>
  <si>
    <t>PS01</t>
  </si>
  <si>
    <t>PCL01</t>
  </si>
  <si>
    <t>PCL02</t>
  </si>
  <si>
    <t>PCT01</t>
  </si>
  <si>
    <t>PG02</t>
  </si>
  <si>
    <t>PCK01</t>
  </si>
  <si>
    <t>PCK02</t>
  </si>
  <si>
    <t>PL01</t>
  </si>
  <si>
    <t>PG03</t>
  </si>
  <si>
    <t>PLS01</t>
  </si>
  <si>
    <t>PL02_w</t>
  </si>
  <si>
    <t>PP02_k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</si>
</sst>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color rgb="FF000000"/>
      <name val="Arial"/>
      <scheme val="minor"/>
    </font>
    <font>
      <sz val="10"/>
      <color theme="1"/>
      <name val="Arial"/>
    </font>
    <font>
      <b/>
      <sz val="14"/>
      <color theme="1"/>
      <name val="Arial"/>
    </font>
    <font>
      <b/>
      <sz val="11"/>
      <color theme="1"/>
      <name val="Arial"/>
    </font>
    <font>
      <sz val="10"/>
      <name val="Arial"/>
    </font>
    <font>
      <b/>
      <sz val="12"/>
      <color theme="1"/>
      <name val="Arial"/>
    </font>
    <font>
      <b/>
      <sz val="10"/>
      <color theme="1"/>
      <name val="Arial"/>
    </font>
    <font>
      <sz val="12"/>
      <color theme="1"/>
      <name val="Arial"/>
    </font>
    <font>
      <sz val="10"/>
      <color theme="1"/>
      <name val="Arial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D0E0E3"/>
        <bgColor rgb="FFD0E0E3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999999"/>
        <bgColor rgb="FF999999"/>
      </patternFill>
    </fill>
    <fill>
      <patternFill patternType="solid">
        <fgColor rgb="FFF4CCCC"/>
        <bgColor rgb="FFF4CCCC"/>
      </patternFill>
    </fill>
    <fill>
      <patternFill patternType="solid">
        <fgColor rgb="FFE6B8AF"/>
        <bgColor rgb="FFE6B8AF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F3F3F3"/>
        <bgColor rgb="FFF3F3F3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EEFFAA"/>
        <bgColor rgb="FFEEFFAA"/>
      </patternFill>
    </fill>
    <fill>
      <patternFill patternType="solid">
        <fgColor rgb="FFFFE9B5"/>
        <bgColor rgb="FFFFE9B5"/>
      </patternFill>
    </fill>
    <fill>
      <patternFill patternType="solid">
        <fgColor rgb="FFFF9CB5"/>
        <bgColor rgb="FFFF9CB5"/>
      </patternFill>
    </fill>
    <fill>
      <patternFill patternType="solid">
        <fgColor rgb="FFCBFFB7"/>
        <bgColor rgb="FFCBFFB7"/>
      </patternFill>
    </fill>
    <fill>
      <patternFill patternType="solid">
        <fgColor rgb="FFB7B7B7"/>
        <bgColor rgb="FFB7B7B7"/>
      </patternFill>
    </fill>
    <fill>
      <patternFill patternType="solid">
        <fgColor rgb="FFA2E8F1"/>
        <bgColor rgb="FFA2E8F1"/>
      </patternFill>
    </fill>
    <fill>
      <patternFill patternType="solid">
        <fgColor rgb="FFFFFFFF"/>
        <bgColor rgb="FFFFFFFF"/>
      </patternFill>
    </fill>
    <fill>
      <patternFill patternType="solid">
        <fgColor rgb="FFEBAAFF"/>
        <bgColor rgb="FFEBAAFF"/>
      </patternFill>
    </fill>
  </fills>
  <borders count="3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53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3" fillId="2" borderId="9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4" borderId="9" xfId="0" applyFont="1" applyFill="1" applyBorder="1" applyAlignment="1">
      <alignment horizontal="center"/>
    </xf>
    <xf numFmtId="0" fontId="3" fillId="5" borderId="8" xfId="0" applyFont="1" applyFill="1" applyBorder="1" applyAlignment="1">
      <alignment horizontal="center"/>
    </xf>
    <xf numFmtId="0" fontId="3" fillId="5" borderId="9" xfId="0" applyFont="1" applyFill="1" applyBorder="1" applyAlignment="1">
      <alignment horizontal="center"/>
    </xf>
    <xf numFmtId="0" fontId="6" fillId="7" borderId="9" xfId="0" applyFont="1" applyFill="1" applyBorder="1" applyAlignment="1">
      <alignment horizontal="center"/>
    </xf>
    <xf numFmtId="0" fontId="6" fillId="8" borderId="9" xfId="0" applyFont="1" applyFill="1" applyBorder="1" applyAlignment="1">
      <alignment horizontal="center"/>
    </xf>
    <xf numFmtId="0" fontId="5" fillId="9" borderId="9" xfId="0" applyFont="1" applyFill="1" applyBorder="1" applyAlignment="1">
      <alignment horizontal="center"/>
    </xf>
    <xf numFmtId="0" fontId="5" fillId="7" borderId="9" xfId="0" applyFont="1" applyFill="1" applyBorder="1" applyAlignment="1">
      <alignment horizontal="center"/>
    </xf>
    <xf numFmtId="0" fontId="5" fillId="10" borderId="9" xfId="0" applyFont="1" applyFill="1" applyBorder="1" applyAlignment="1">
      <alignment horizontal="center"/>
    </xf>
    <xf numFmtId="0" fontId="5" fillId="0" borderId="10" xfId="0" applyFont="1" applyBorder="1"/>
    <xf numFmtId="21" fontId="1" fillId="0" borderId="10" xfId="0" applyNumberFormat="1" applyFont="1" applyBorder="1" applyAlignment="1">
      <alignment horizontal="right" vertical="center"/>
    </xf>
    <xf numFmtId="21" fontId="1" fillId="0" borderId="6" xfId="0" applyNumberFormat="1" applyFont="1" applyBorder="1" applyAlignment="1">
      <alignment horizontal="right" vertical="center"/>
    </xf>
    <xf numFmtId="21" fontId="1" fillId="0" borderId="1" xfId="0" applyNumberFormat="1" applyFont="1" applyBorder="1" applyAlignment="1">
      <alignment horizontal="right" vertical="center"/>
    </xf>
    <xf numFmtId="21" fontId="1" fillId="0" borderId="0" xfId="0" applyNumberFormat="1" applyFont="1" applyAlignment="1">
      <alignment horizontal="right" vertical="center"/>
    </xf>
    <xf numFmtId="21" fontId="1" fillId="0" borderId="10" xfId="0" applyNumberFormat="1" applyFont="1" applyBorder="1" applyAlignment="1">
      <alignment horizontal="right"/>
    </xf>
    <xf numFmtId="21" fontId="1" fillId="0" borderId="12" xfId="0" applyNumberFormat="1" applyFont="1" applyBorder="1" applyAlignment="1">
      <alignment horizontal="right"/>
    </xf>
    <xf numFmtId="0" fontId="7" fillId="11" borderId="10" xfId="0" applyFont="1" applyFill="1" applyBorder="1"/>
    <xf numFmtId="21" fontId="1" fillId="11" borderId="10" xfId="0" applyNumberFormat="1" applyFont="1" applyFill="1" applyBorder="1" applyAlignment="1">
      <alignment horizontal="right" vertical="center"/>
    </xf>
    <xf numFmtId="21" fontId="1" fillId="11" borderId="10" xfId="0" applyNumberFormat="1" applyFont="1" applyFill="1" applyBorder="1" applyAlignment="1">
      <alignment horizontal="center" vertical="center"/>
    </xf>
    <xf numFmtId="0" fontId="1" fillId="11" borderId="10" xfId="0" applyFont="1" applyFill="1" applyBorder="1" applyAlignment="1">
      <alignment horizontal="center" vertical="center"/>
    </xf>
    <xf numFmtId="21" fontId="1" fillId="11" borderId="10" xfId="0" applyNumberFormat="1" applyFont="1" applyFill="1" applyBorder="1" applyAlignment="1">
      <alignment horizontal="right"/>
    </xf>
    <xf numFmtId="21" fontId="1" fillId="11" borderId="12" xfId="0" applyNumberFormat="1" applyFont="1" applyFill="1" applyBorder="1" applyAlignment="1">
      <alignment horizontal="right"/>
    </xf>
    <xf numFmtId="0" fontId="1" fillId="11" borderId="0" xfId="0" applyFont="1" applyFill="1"/>
    <xf numFmtId="0" fontId="7" fillId="11" borderId="10" xfId="0" applyFont="1" applyFill="1" applyBorder="1" applyAlignment="1">
      <alignment horizontal="center"/>
    </xf>
    <xf numFmtId="0" fontId="1" fillId="11" borderId="0" xfId="0" applyFont="1" applyFill="1" applyAlignment="1">
      <alignment horizontal="center" vertical="center"/>
    </xf>
    <xf numFmtId="21" fontId="1" fillId="11" borderId="0" xfId="0" applyNumberFormat="1" applyFont="1" applyFill="1" applyAlignment="1">
      <alignment horizontal="center" vertical="center"/>
    </xf>
    <xf numFmtId="0" fontId="1" fillId="11" borderId="0" xfId="0" applyFont="1" applyFill="1" applyAlignment="1">
      <alignment horizontal="center"/>
    </xf>
    <xf numFmtId="21" fontId="1" fillId="0" borderId="0" xfId="0" applyNumberFormat="1" applyFont="1" applyAlignment="1">
      <alignment horizontal="right" vertical="center" wrapText="1"/>
    </xf>
    <xf numFmtId="0" fontId="5" fillId="0" borderId="10" xfId="0" applyFont="1" applyBorder="1" applyAlignment="1">
      <alignment wrapText="1"/>
    </xf>
    <xf numFmtId="21" fontId="1" fillId="0" borderId="10" xfId="0" applyNumberFormat="1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0" xfId="0" applyFont="1" applyBorder="1"/>
    <xf numFmtId="0" fontId="1" fillId="0" borderId="0" xfId="0" applyFont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21" fontId="1" fillId="0" borderId="8" xfId="0" applyNumberFormat="1" applyFont="1" applyBorder="1" applyAlignment="1">
      <alignment horizontal="right" vertical="center"/>
    </xf>
    <xf numFmtId="0" fontId="5" fillId="12" borderId="8" xfId="0" applyFont="1" applyFill="1" applyBorder="1"/>
    <xf numFmtId="21" fontId="3" fillId="2" borderId="9" xfId="0" applyNumberFormat="1" applyFont="1" applyFill="1" applyBorder="1" applyAlignment="1">
      <alignment horizontal="center"/>
    </xf>
    <xf numFmtId="21" fontId="3" fillId="3" borderId="9" xfId="0" applyNumberFormat="1" applyFont="1" applyFill="1" applyBorder="1" applyAlignment="1">
      <alignment horizontal="center"/>
    </xf>
    <xf numFmtId="21" fontId="3" fillId="4" borderId="9" xfId="0" applyNumberFormat="1" applyFont="1" applyFill="1" applyBorder="1" applyAlignment="1">
      <alignment horizontal="center"/>
    </xf>
    <xf numFmtId="21" fontId="3" fillId="5" borderId="9" xfId="0" applyNumberFormat="1" applyFont="1" applyFill="1" applyBorder="1" applyAlignment="1">
      <alignment horizontal="center"/>
    </xf>
    <xf numFmtId="21" fontId="3" fillId="7" borderId="9" xfId="0" applyNumberFormat="1" applyFont="1" applyFill="1" applyBorder="1" applyAlignment="1">
      <alignment horizontal="center"/>
    </xf>
    <xf numFmtId="21" fontId="3" fillId="8" borderId="9" xfId="0" applyNumberFormat="1" applyFont="1" applyFill="1" applyBorder="1" applyAlignment="1">
      <alignment horizontal="center"/>
    </xf>
    <xf numFmtId="21" fontId="3" fillId="9" borderId="9" xfId="0" applyNumberFormat="1" applyFont="1" applyFill="1" applyBorder="1" applyAlignment="1">
      <alignment horizontal="center"/>
    </xf>
    <xf numFmtId="21" fontId="3" fillId="10" borderId="9" xfId="0" applyNumberFormat="1" applyFont="1" applyFill="1" applyBorder="1" applyAlignment="1">
      <alignment horizontal="center"/>
    </xf>
    <xf numFmtId="0" fontId="1" fillId="0" borderId="2" xfId="0" applyFont="1" applyBorder="1"/>
    <xf numFmtId="0" fontId="1" fillId="0" borderId="9" xfId="0" applyFont="1" applyBorder="1"/>
    <xf numFmtId="21" fontId="1" fillId="0" borderId="9" xfId="0" applyNumberFormat="1" applyFont="1" applyBorder="1" applyAlignment="1">
      <alignment horizontal="right"/>
    </xf>
    <xf numFmtId="21" fontId="1" fillId="0" borderId="9" xfId="0" applyNumberFormat="1" applyFont="1" applyBorder="1" applyAlignment="1">
      <alignment horizontal="right" vertical="center"/>
    </xf>
    <xf numFmtId="0" fontId="6" fillId="0" borderId="9" xfId="0" applyFont="1" applyBorder="1" applyAlignment="1">
      <alignment horizontal="center" vertical="center"/>
    </xf>
    <xf numFmtId="21" fontId="3" fillId="0" borderId="9" xfId="0" applyNumberFormat="1" applyFont="1" applyBorder="1" applyAlignment="1">
      <alignment horizontal="center" vertical="center"/>
    </xf>
    <xf numFmtId="0" fontId="6" fillId="13" borderId="9" xfId="0" applyFont="1" applyFill="1" applyBorder="1"/>
    <xf numFmtId="21" fontId="3" fillId="6" borderId="9" xfId="0" applyNumberFormat="1" applyFont="1" applyFill="1" applyBorder="1" applyAlignment="1">
      <alignment horizontal="right"/>
    </xf>
    <xf numFmtId="0" fontId="3" fillId="12" borderId="2" xfId="0" applyFont="1" applyFill="1" applyBorder="1" applyAlignment="1">
      <alignment horizontal="center"/>
    </xf>
    <xf numFmtId="21" fontId="3" fillId="3" borderId="9" xfId="0" applyNumberFormat="1" applyFont="1" applyFill="1" applyBorder="1" applyAlignment="1">
      <alignment horizontal="center" vertical="center"/>
    </xf>
    <xf numFmtId="0" fontId="7" fillId="0" borderId="2" xfId="0" applyFont="1" applyBorder="1"/>
    <xf numFmtId="0" fontId="1" fillId="0" borderId="5" xfId="0" applyFont="1" applyBorder="1" applyAlignment="1">
      <alignment wrapText="1"/>
    </xf>
    <xf numFmtId="0" fontId="6" fillId="12" borderId="15" xfId="0" applyFont="1" applyFill="1" applyBorder="1" applyAlignment="1">
      <alignment horizontal="center"/>
    </xf>
    <xf numFmtId="21" fontId="3" fillId="3" borderId="8" xfId="0" applyNumberFormat="1" applyFont="1" applyFill="1" applyBorder="1" applyAlignment="1">
      <alignment horizontal="center"/>
    </xf>
    <xf numFmtId="0" fontId="1" fillId="0" borderId="8" xfId="0" applyFont="1" applyBorder="1"/>
    <xf numFmtId="0" fontId="5" fillId="0" borderId="9" xfId="0" applyFont="1" applyBorder="1" applyAlignment="1">
      <alignment wrapText="1"/>
    </xf>
    <xf numFmtId="0" fontId="6" fillId="8" borderId="0" xfId="0" applyFont="1" applyFill="1"/>
    <xf numFmtId="0" fontId="6" fillId="0" borderId="0" xfId="0" applyFont="1" applyAlignment="1">
      <alignment wrapText="1"/>
    </xf>
    <xf numFmtId="0" fontId="1" fillId="0" borderId="11" xfId="0" applyFont="1" applyBorder="1" applyAlignment="1">
      <alignment horizontal="center"/>
    </xf>
    <xf numFmtId="21" fontId="1" fillId="0" borderId="12" xfId="0" applyNumberFormat="1" applyFont="1" applyBorder="1" applyAlignment="1">
      <alignment horizontal="center"/>
    </xf>
    <xf numFmtId="21" fontId="1" fillId="0" borderId="11" xfId="0" applyNumberFormat="1" applyFont="1" applyBorder="1" applyAlignment="1">
      <alignment horizontal="right"/>
    </xf>
    <xf numFmtId="0" fontId="1" fillId="0" borderId="12" xfId="0" applyFont="1" applyBorder="1"/>
    <xf numFmtId="0" fontId="1" fillId="0" borderId="11" xfId="0" applyFont="1" applyBorder="1"/>
    <xf numFmtId="21" fontId="1" fillId="0" borderId="0" xfId="0" applyNumberFormat="1" applyFont="1" applyAlignment="1">
      <alignment horizontal="right"/>
    </xf>
    <xf numFmtId="0" fontId="1" fillId="0" borderId="11" xfId="0" applyFont="1" applyBorder="1" applyAlignment="1">
      <alignment wrapText="1"/>
    </xf>
    <xf numFmtId="21" fontId="6" fillId="0" borderId="12" xfId="0" applyNumberFormat="1" applyFont="1" applyBorder="1" applyAlignment="1">
      <alignment horizontal="right"/>
    </xf>
    <xf numFmtId="21" fontId="6" fillId="0" borderId="0" xfId="0" applyNumberFormat="1" applyFont="1" applyAlignment="1">
      <alignment horizontal="right"/>
    </xf>
    <xf numFmtId="0" fontId="1" fillId="0" borderId="11" xfId="0" applyFont="1" applyBorder="1" applyAlignment="1">
      <alignment horizontal="center" wrapText="1"/>
    </xf>
    <xf numFmtId="21" fontId="6" fillId="0" borderId="0" xfId="0" applyNumberFormat="1" applyFont="1" applyAlignment="1">
      <alignment horizontal="center"/>
    </xf>
    <xf numFmtId="21" fontId="6" fillId="0" borderId="12" xfId="0" applyNumberFormat="1" applyFont="1" applyBorder="1" applyAlignment="1">
      <alignment horizontal="center"/>
    </xf>
    <xf numFmtId="21" fontId="1" fillId="0" borderId="11" xfId="0" applyNumberFormat="1" applyFont="1" applyBorder="1"/>
    <xf numFmtId="21" fontId="1" fillId="0" borderId="11" xfId="0" applyNumberFormat="1" applyFont="1" applyBorder="1" applyAlignment="1">
      <alignment horizontal="center" wrapText="1"/>
    </xf>
    <xf numFmtId="0" fontId="6" fillId="5" borderId="0" xfId="0" applyFont="1" applyFill="1" applyAlignment="1">
      <alignment wrapText="1"/>
    </xf>
    <xf numFmtId="0" fontId="6" fillId="0" borderId="0" xfId="0" applyFont="1"/>
    <xf numFmtId="21" fontId="1" fillId="0" borderId="12" xfId="0" applyNumberFormat="1" applyFont="1" applyBorder="1" applyAlignment="1">
      <alignment horizontal="right" wrapText="1"/>
    </xf>
    <xf numFmtId="21" fontId="1" fillId="0" borderId="12" xfId="0" applyNumberFormat="1" applyFont="1" applyBorder="1"/>
    <xf numFmtId="21" fontId="1" fillId="0" borderId="11" xfId="0" applyNumberFormat="1" applyFont="1" applyBorder="1" applyAlignment="1">
      <alignment horizontal="right" wrapText="1"/>
    </xf>
    <xf numFmtId="21" fontId="1" fillId="0" borderId="11" xfId="0" applyNumberFormat="1" applyFont="1" applyBorder="1" applyAlignment="1">
      <alignment wrapText="1"/>
    </xf>
    <xf numFmtId="21" fontId="1" fillId="0" borderId="0" xfId="0" applyNumberFormat="1" applyFont="1" applyAlignment="1">
      <alignment wrapText="1"/>
    </xf>
    <xf numFmtId="21" fontId="1" fillId="0" borderId="0" xfId="0" applyNumberFormat="1" applyFont="1" applyAlignment="1">
      <alignment horizontal="right" wrapText="1"/>
    </xf>
    <xf numFmtId="21" fontId="1" fillId="0" borderId="0" xfId="0" applyNumberFormat="1" applyFont="1"/>
    <xf numFmtId="0" fontId="6" fillId="4" borderId="0" xfId="0" applyFont="1" applyFill="1"/>
    <xf numFmtId="0" fontId="6" fillId="3" borderId="0" xfId="0" applyFont="1" applyFill="1"/>
    <xf numFmtId="0" fontId="1" fillId="0" borderId="0" xfId="0" applyFont="1" applyAlignment="1">
      <alignment wrapText="1"/>
    </xf>
    <xf numFmtId="0" fontId="6" fillId="2" borderId="0" xfId="0" applyFont="1" applyFill="1"/>
    <xf numFmtId="0" fontId="6" fillId="9" borderId="0" xfId="0" applyFont="1" applyFill="1"/>
    <xf numFmtId="21" fontId="6" fillId="0" borderId="12" xfId="0" applyNumberFormat="1" applyFont="1" applyBorder="1" applyAlignment="1">
      <alignment horizontal="right" wrapText="1"/>
    </xf>
    <xf numFmtId="21" fontId="6" fillId="0" borderId="12" xfId="0" applyNumberFormat="1" applyFont="1" applyBorder="1"/>
    <xf numFmtId="0" fontId="1" fillId="0" borderId="11" xfId="0" applyFont="1" applyBorder="1" applyAlignment="1">
      <alignment horizontal="right"/>
    </xf>
    <xf numFmtId="0" fontId="6" fillId="10" borderId="0" xfId="0" applyFont="1" applyFill="1"/>
    <xf numFmtId="0" fontId="1" fillId="0" borderId="12" xfId="0" applyFont="1" applyBorder="1" applyAlignment="1">
      <alignment horizontal="right"/>
    </xf>
    <xf numFmtId="0" fontId="6" fillId="15" borderId="0" xfId="0" applyFont="1" applyFill="1"/>
    <xf numFmtId="0" fontId="6" fillId="0" borderId="11" xfId="0" applyFont="1" applyBorder="1"/>
    <xf numFmtId="0" fontId="6" fillId="16" borderId="0" xfId="0" applyFont="1" applyFill="1"/>
    <xf numFmtId="21" fontId="6" fillId="0" borderId="12" xfId="0" applyNumberFormat="1" applyFont="1" applyBorder="1" applyAlignment="1">
      <alignment horizontal="center" wrapText="1"/>
    </xf>
    <xf numFmtId="0" fontId="6" fillId="0" borderId="0" xfId="0" applyFont="1" applyAlignment="1">
      <alignment vertical="center"/>
    </xf>
    <xf numFmtId="0" fontId="6" fillId="17" borderId="0" xfId="0" applyFont="1" applyFill="1"/>
    <xf numFmtId="21" fontId="1" fillId="17" borderId="0" xfId="0" applyNumberFormat="1" applyFont="1" applyFill="1" applyAlignment="1">
      <alignment horizontal="center"/>
    </xf>
    <xf numFmtId="0" fontId="1" fillId="17" borderId="11" xfId="0" applyFont="1" applyFill="1" applyBorder="1" applyAlignment="1">
      <alignment horizontal="center"/>
    </xf>
    <xf numFmtId="21" fontId="6" fillId="17" borderId="0" xfId="0" applyNumberFormat="1" applyFont="1" applyFill="1" applyAlignment="1">
      <alignment horizontal="center"/>
    </xf>
    <xf numFmtId="21" fontId="1" fillId="17" borderId="12" xfId="0" applyNumberFormat="1" applyFont="1" applyFill="1" applyBorder="1" applyAlignment="1">
      <alignment horizontal="center"/>
    </xf>
    <xf numFmtId="0" fontId="1" fillId="17" borderId="0" xfId="0" applyFont="1" applyFill="1" applyAlignment="1">
      <alignment horizontal="center"/>
    </xf>
    <xf numFmtId="0" fontId="1" fillId="17" borderId="11" xfId="0" applyFont="1" applyFill="1" applyBorder="1" applyAlignment="1">
      <alignment wrapText="1"/>
    </xf>
    <xf numFmtId="21" fontId="6" fillId="17" borderId="12" xfId="0" applyNumberFormat="1" applyFont="1" applyFill="1" applyBorder="1" applyAlignment="1">
      <alignment horizontal="right"/>
    </xf>
    <xf numFmtId="21" fontId="1" fillId="17" borderId="11" xfId="0" applyNumberFormat="1" applyFont="1" applyFill="1" applyBorder="1" applyAlignment="1">
      <alignment wrapText="1"/>
    </xf>
    <xf numFmtId="21" fontId="6" fillId="17" borderId="12" xfId="0" applyNumberFormat="1" applyFont="1" applyFill="1" applyBorder="1" applyAlignment="1">
      <alignment horizontal="center"/>
    </xf>
    <xf numFmtId="0" fontId="1" fillId="17" borderId="0" xfId="0" applyFont="1" applyFill="1"/>
    <xf numFmtId="0" fontId="1" fillId="17" borderId="12" xfId="0" applyFont="1" applyFill="1" applyBorder="1"/>
    <xf numFmtId="0" fontId="6" fillId="12" borderId="0" xfId="0" applyFont="1" applyFill="1"/>
    <xf numFmtId="21" fontId="6" fillId="12" borderId="15" xfId="0" applyNumberFormat="1" applyFont="1" applyFill="1" applyBorder="1" applyAlignment="1">
      <alignment horizontal="center"/>
    </xf>
    <xf numFmtId="21" fontId="6" fillId="12" borderId="14" xfId="0" applyNumberFormat="1" applyFont="1" applyFill="1" applyBorder="1" applyAlignment="1">
      <alignment horizontal="center"/>
    </xf>
    <xf numFmtId="21" fontId="6" fillId="12" borderId="8" xfId="0" applyNumberFormat="1" applyFont="1" applyFill="1" applyBorder="1" applyAlignment="1">
      <alignment horizontal="center"/>
    </xf>
    <xf numFmtId="0" fontId="1" fillId="12" borderId="14" xfId="0" applyFont="1" applyFill="1" applyBorder="1"/>
    <xf numFmtId="21" fontId="6" fillId="12" borderId="13" xfId="0" applyNumberFormat="1" applyFont="1" applyFill="1" applyBorder="1" applyAlignment="1">
      <alignment horizontal="center"/>
    </xf>
    <xf numFmtId="21" fontId="1" fillId="12" borderId="8" xfId="0" applyNumberFormat="1" applyFont="1" applyFill="1" applyBorder="1" applyAlignment="1">
      <alignment horizontal="right" wrapText="1"/>
    </xf>
    <xf numFmtId="21" fontId="1" fillId="12" borderId="8" xfId="0" applyNumberFormat="1" applyFont="1" applyFill="1" applyBorder="1" applyAlignment="1">
      <alignment horizontal="right"/>
    </xf>
    <xf numFmtId="21" fontId="1" fillId="12" borderId="8" xfId="0" applyNumberFormat="1" applyFont="1" applyFill="1" applyBorder="1"/>
    <xf numFmtId="21" fontId="1" fillId="12" borderId="0" xfId="0" applyNumberFormat="1" applyFont="1" applyFill="1" applyAlignment="1">
      <alignment horizontal="right"/>
    </xf>
    <xf numFmtId="0" fontId="1" fillId="0" borderId="0" xfId="0" applyFont="1" applyAlignment="1">
      <alignment horizontal="center"/>
    </xf>
    <xf numFmtId="21" fontId="1" fillId="18" borderId="8" xfId="0" applyNumberFormat="1" applyFont="1" applyFill="1" applyBorder="1" applyAlignment="1">
      <alignment horizontal="right" wrapText="1"/>
    </xf>
    <xf numFmtId="21" fontId="1" fillId="18" borderId="14" xfId="0" applyNumberFormat="1" applyFont="1" applyFill="1" applyBorder="1" applyAlignment="1">
      <alignment horizontal="right"/>
    </xf>
    <xf numFmtId="14" fontId="5" fillId="0" borderId="0" xfId="0" applyNumberFormat="1" applyFont="1" applyAlignment="1">
      <alignment horizontal="center"/>
    </xf>
    <xf numFmtId="0" fontId="5" fillId="0" borderId="1" xfId="0" applyFont="1" applyBorder="1" applyAlignment="1">
      <alignment wrapText="1"/>
    </xf>
    <xf numFmtId="10" fontId="8" fillId="0" borderId="0" xfId="0" applyNumberFormat="1" applyFont="1"/>
    <xf numFmtId="0" fontId="6" fillId="8" borderId="10" xfId="0" applyFont="1" applyFill="1" applyBorder="1"/>
    <xf numFmtId="0" fontId="6" fillId="0" borderId="10" xfId="0" applyFont="1" applyBorder="1" applyAlignment="1">
      <alignment wrapText="1"/>
    </xf>
    <xf numFmtId="0" fontId="6" fillId="5" borderId="11" xfId="0" applyFont="1" applyFill="1" applyBorder="1" applyAlignment="1">
      <alignment wrapText="1"/>
    </xf>
    <xf numFmtId="20" fontId="1" fillId="0" borderId="11" xfId="0" applyNumberFormat="1" applyFont="1" applyBorder="1" applyAlignment="1">
      <alignment horizontal="right"/>
    </xf>
    <xf numFmtId="0" fontId="6" fillId="4" borderId="11" xfId="0" applyFont="1" applyFill="1" applyBorder="1"/>
    <xf numFmtId="0" fontId="6" fillId="20" borderId="11" xfId="0" applyFont="1" applyFill="1" applyBorder="1"/>
    <xf numFmtId="0" fontId="1" fillId="20" borderId="11" xfId="0" applyFont="1" applyFill="1" applyBorder="1"/>
    <xf numFmtId="0" fontId="6" fillId="2" borderId="11" xfId="0" applyFont="1" applyFill="1" applyBorder="1"/>
    <xf numFmtId="0" fontId="6" fillId="20" borderId="11" xfId="0" applyFont="1" applyFill="1" applyBorder="1" applyAlignment="1">
      <alignment wrapText="1"/>
    </xf>
    <xf numFmtId="0" fontId="6" fillId="0" borderId="11" xfId="0" applyFont="1" applyBorder="1" applyAlignment="1">
      <alignment wrapText="1"/>
    </xf>
    <xf numFmtId="0" fontId="6" fillId="9" borderId="11" xfId="0" applyFont="1" applyFill="1" applyBorder="1"/>
    <xf numFmtId="0" fontId="6" fillId="21" borderId="11" xfId="0" applyFont="1" applyFill="1" applyBorder="1"/>
    <xf numFmtId="0" fontId="6" fillId="10" borderId="11" xfId="0" applyFont="1" applyFill="1" applyBorder="1"/>
    <xf numFmtId="0" fontId="6" fillId="16" borderId="11" xfId="0" applyFont="1" applyFill="1" applyBorder="1"/>
    <xf numFmtId="0" fontId="6" fillId="17" borderId="11" xfId="0" applyFont="1" applyFill="1" applyBorder="1"/>
    <xf numFmtId="0" fontId="6" fillId="12" borderId="15" xfId="0" applyFont="1" applyFill="1" applyBorder="1"/>
    <xf numFmtId="21" fontId="1" fillId="12" borderId="15" xfId="0" applyNumberFormat="1" applyFont="1" applyFill="1" applyBorder="1" applyAlignment="1">
      <alignment horizontal="center"/>
    </xf>
    <xf numFmtId="21" fontId="1" fillId="12" borderId="14" xfId="0" applyNumberFormat="1" applyFont="1" applyFill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5" fillId="0" borderId="21" xfId="0" applyFont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21" fontId="1" fillId="0" borderId="8" xfId="0" applyNumberFormat="1" applyFont="1" applyBorder="1" applyAlignment="1">
      <alignment horizontal="right"/>
    </xf>
    <xf numFmtId="0" fontId="1" fillId="0" borderId="23" xfId="0" applyFont="1" applyBorder="1" applyAlignment="1">
      <alignment horizontal="center"/>
    </xf>
    <xf numFmtId="0" fontId="1" fillId="7" borderId="24" xfId="0" applyFont="1" applyFill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3" borderId="24" xfId="0" applyFont="1" applyFill="1" applyBorder="1" applyAlignment="1">
      <alignment horizontal="center"/>
    </xf>
    <xf numFmtId="0" fontId="1" fillId="5" borderId="24" xfId="0" applyFont="1" applyFill="1" applyBorder="1" applyAlignment="1">
      <alignment horizontal="center"/>
    </xf>
    <xf numFmtId="0" fontId="1" fillId="4" borderId="24" xfId="0" applyFont="1" applyFill="1" applyBorder="1" applyAlignment="1">
      <alignment horizontal="center"/>
    </xf>
    <xf numFmtId="0" fontId="1" fillId="6" borderId="24" xfId="0" applyFont="1" applyFill="1" applyBorder="1" applyAlignment="1">
      <alignment horizontal="center"/>
    </xf>
    <xf numFmtId="0" fontId="1" fillId="8" borderId="24" xfId="0" applyFont="1" applyFill="1" applyBorder="1" applyAlignment="1">
      <alignment horizontal="center"/>
    </xf>
    <xf numFmtId="0" fontId="1" fillId="9" borderId="24" xfId="0" applyFont="1" applyFill="1" applyBorder="1" applyAlignment="1">
      <alignment horizontal="center"/>
    </xf>
    <xf numFmtId="0" fontId="1" fillId="10" borderId="26" xfId="0" applyFont="1" applyFill="1" applyBorder="1" applyAlignment="1">
      <alignment horizontal="center"/>
    </xf>
    <xf numFmtId="21" fontId="1" fillId="0" borderId="1" xfId="0" applyNumberFormat="1" applyFont="1" applyBorder="1" applyAlignment="1">
      <alignment horizontal="right"/>
    </xf>
    <xf numFmtId="0" fontId="1" fillId="0" borderId="27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21" fontId="1" fillId="0" borderId="7" xfId="0" applyNumberFormat="1" applyFont="1" applyBorder="1" applyAlignment="1">
      <alignment horizontal="right"/>
    </xf>
    <xf numFmtId="0" fontId="1" fillId="0" borderId="28" xfId="0" applyFont="1" applyBorder="1" applyAlignment="1">
      <alignment horizontal="center"/>
    </xf>
    <xf numFmtId="0" fontId="1" fillId="19" borderId="24" xfId="0" applyFont="1" applyFill="1" applyBorder="1" applyAlignment="1">
      <alignment horizontal="center"/>
    </xf>
    <xf numFmtId="21" fontId="1" fillId="0" borderId="9" xfId="0" applyNumberFormat="1" applyFont="1" applyBorder="1"/>
    <xf numFmtId="0" fontId="1" fillId="0" borderId="29" xfId="0" applyFont="1" applyBorder="1" applyAlignment="1">
      <alignment horizontal="center"/>
    </xf>
    <xf numFmtId="21" fontId="1" fillId="0" borderId="30" xfId="0" applyNumberFormat="1" applyFont="1" applyBorder="1" applyAlignment="1">
      <alignment horizontal="right"/>
    </xf>
    <xf numFmtId="0" fontId="1" fillId="0" borderId="31" xfId="0" applyFont="1" applyBorder="1" applyAlignment="1">
      <alignment horizontal="center"/>
    </xf>
    <xf numFmtId="21" fontId="1" fillId="11" borderId="0" xfId="0" applyNumberFormat="1" applyFont="1" applyFill="1" applyAlignment="1">
      <alignment horizontal="right" vertical="center"/>
    </xf>
    <xf numFmtId="21" fontId="1" fillId="0" borderId="0" xfId="0" applyNumberFormat="1" applyFont="1" applyAlignment="1">
      <alignment horizontal="right" vertical="center"/>
    </xf>
    <xf numFmtId="21" fontId="1" fillId="0" borderId="13" xfId="0" applyNumberFormat="1" applyFont="1" applyBorder="1" applyAlignment="1">
      <alignment horizontal="right" vertical="center"/>
    </xf>
    <xf numFmtId="21" fontId="3" fillId="3" borderId="3" xfId="0" applyNumberFormat="1" applyFont="1" applyFill="1" applyBorder="1" applyAlignment="1">
      <alignment horizontal="center"/>
    </xf>
    <xf numFmtId="21" fontId="1" fillId="0" borderId="11" xfId="0" applyNumberFormat="1" applyFont="1" applyBorder="1" applyAlignment="1">
      <alignment horizontal="right" vertical="center"/>
    </xf>
    <xf numFmtId="21" fontId="1" fillId="0" borderId="11" xfId="0" applyNumberFormat="1" applyFont="1" applyBorder="1" applyAlignment="1">
      <alignment horizontal="center" vertical="center"/>
    </xf>
    <xf numFmtId="21" fontId="3" fillId="6" borderId="2" xfId="0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14" fontId="3" fillId="0" borderId="2" xfId="0" applyNumberFormat="1" applyFont="1" applyBorder="1" applyAlignment="1">
      <alignment horizontal="center"/>
    </xf>
    <xf numFmtId="14" fontId="3" fillId="0" borderId="5" xfId="0" applyNumberFormat="1" applyFont="1" applyBorder="1" applyAlignment="1">
      <alignment horizontal="center"/>
    </xf>
    <xf numFmtId="14" fontId="5" fillId="0" borderId="2" xfId="0" applyNumberFormat="1" applyFont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3" fillId="6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1" fillId="11" borderId="11" xfId="0" applyFont="1" applyFill="1" applyBorder="1" applyAlignment="1">
      <alignment horizontal="center" vertical="center"/>
    </xf>
    <xf numFmtId="14" fontId="5" fillId="0" borderId="16" xfId="0" applyNumberFormat="1" applyFont="1" applyBorder="1" applyAlignment="1">
      <alignment horizontal="center"/>
    </xf>
    <xf numFmtId="14" fontId="5" fillId="0" borderId="16" xfId="0" applyNumberFormat="1" applyFont="1" applyBorder="1" applyAlignment="1">
      <alignment horizontal="center" vertical="center"/>
    </xf>
    <xf numFmtId="21" fontId="6" fillId="0" borderId="11" xfId="0" applyNumberFormat="1" applyFont="1" applyBorder="1" applyAlignment="1">
      <alignment horizontal="right"/>
    </xf>
    <xf numFmtId="0" fontId="3" fillId="0" borderId="15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5" fillId="4" borderId="15" xfId="0" applyFont="1" applyFill="1" applyBorder="1" applyAlignment="1">
      <alignment horizontal="center" vertical="center"/>
    </xf>
    <xf numFmtId="0" fontId="5" fillId="7" borderId="15" xfId="0" applyFont="1" applyFill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3" fillId="14" borderId="15" xfId="0" applyFont="1" applyFill="1" applyBorder="1" applyAlignment="1">
      <alignment horizontal="center" vertical="center"/>
    </xf>
    <xf numFmtId="21" fontId="1" fillId="8" borderId="5" xfId="0" applyNumberFormat="1" applyFont="1" applyFill="1" applyBorder="1" applyAlignment="1">
      <alignment horizontal="center"/>
    </xf>
    <xf numFmtId="21" fontId="1" fillId="8" borderId="11" xfId="0" applyNumberFormat="1" applyFont="1" applyFill="1" applyBorder="1" applyAlignment="1">
      <alignment horizontal="center"/>
    </xf>
    <xf numFmtId="21" fontId="1" fillId="5" borderId="11" xfId="0" applyNumberFormat="1" applyFont="1" applyFill="1" applyBorder="1" applyAlignment="1">
      <alignment horizontal="center"/>
    </xf>
    <xf numFmtId="21" fontId="1" fillId="0" borderId="11" xfId="0" applyNumberFormat="1" applyFont="1" applyBorder="1" applyAlignment="1">
      <alignment horizontal="right"/>
    </xf>
    <xf numFmtId="21" fontId="6" fillId="0" borderId="11" xfId="0" applyNumberFormat="1" applyFont="1" applyBorder="1" applyAlignment="1">
      <alignment horizontal="right" wrapText="1"/>
    </xf>
    <xf numFmtId="21" fontId="6" fillId="0" borderId="0" xfId="0" applyNumberFormat="1" applyFont="1" applyAlignment="1">
      <alignment horizontal="right"/>
    </xf>
    <xf numFmtId="21" fontId="1" fillId="4" borderId="11" xfId="0" applyNumberFormat="1" applyFont="1" applyFill="1" applyBorder="1" applyAlignment="1">
      <alignment horizontal="center"/>
    </xf>
    <xf numFmtId="21" fontId="1" fillId="0" borderId="12" xfId="0" applyNumberFormat="1" applyFont="1" applyBorder="1" applyAlignment="1">
      <alignment horizontal="right" wrapText="1"/>
    </xf>
    <xf numFmtId="21" fontId="1" fillId="0" borderId="12" xfId="0" applyNumberFormat="1" applyFont="1" applyBorder="1" applyAlignment="1">
      <alignment horizontal="right"/>
    </xf>
    <xf numFmtId="0" fontId="1" fillId="0" borderId="11" xfId="0" applyFont="1" applyBorder="1" applyAlignment="1">
      <alignment wrapText="1"/>
    </xf>
    <xf numFmtId="21" fontId="1" fillId="2" borderId="11" xfId="0" applyNumberFormat="1" applyFont="1" applyFill="1" applyBorder="1" applyAlignment="1">
      <alignment horizontal="center"/>
    </xf>
    <xf numFmtId="21" fontId="1" fillId="9" borderId="11" xfId="0" applyNumberFormat="1" applyFont="1" applyFill="1" applyBorder="1" applyAlignment="1">
      <alignment horizontal="center"/>
    </xf>
    <xf numFmtId="21" fontId="1" fillId="3" borderId="11" xfId="0" applyNumberFormat="1" applyFont="1" applyFill="1" applyBorder="1" applyAlignment="1">
      <alignment horizontal="center"/>
    </xf>
    <xf numFmtId="21" fontId="1" fillId="0" borderId="11" xfId="0" applyNumberFormat="1" applyFont="1" applyBorder="1" applyAlignment="1">
      <alignment horizontal="right" wrapText="1"/>
    </xf>
    <xf numFmtId="21" fontId="1" fillId="0" borderId="11" xfId="0" applyNumberFormat="1" applyFont="1" applyBorder="1" applyAlignment="1">
      <alignment wrapText="1"/>
    </xf>
    <xf numFmtId="0" fontId="1" fillId="0" borderId="11" xfId="0" applyFont="1" applyBorder="1" applyAlignment="1">
      <alignment horizontal="right"/>
    </xf>
    <xf numFmtId="21" fontId="1" fillId="10" borderId="11" xfId="0" applyNumberFormat="1" applyFont="1" applyFill="1" applyBorder="1" applyAlignment="1">
      <alignment horizontal="center"/>
    </xf>
    <xf numFmtId="21" fontId="6" fillId="0" borderId="12" xfId="0" applyNumberFormat="1" applyFont="1" applyBorder="1" applyAlignment="1">
      <alignment horizontal="right"/>
    </xf>
    <xf numFmtId="0" fontId="6" fillId="0" borderId="0" xfId="0" applyFont="1" applyAlignment="1">
      <alignment horizontal="center" wrapText="1"/>
    </xf>
    <xf numFmtId="21" fontId="1" fillId="16" borderId="11" xfId="0" applyNumberFormat="1" applyFont="1" applyFill="1" applyBorder="1" applyAlignment="1">
      <alignment horizontal="center"/>
    </xf>
    <xf numFmtId="0" fontId="5" fillId="19" borderId="2" xfId="0" applyFont="1" applyFill="1" applyBorder="1" applyAlignment="1">
      <alignment horizontal="center" vertical="top"/>
    </xf>
    <xf numFmtId="21" fontId="1" fillId="17" borderId="11" xfId="0" applyNumberFormat="1" applyFont="1" applyFill="1" applyBorder="1" applyAlignment="1">
      <alignment horizontal="center"/>
    </xf>
    <xf numFmtId="21" fontId="1" fillId="17" borderId="0" xfId="0" applyNumberFormat="1" applyFont="1" applyFill="1" applyAlignment="1">
      <alignment horizontal="center"/>
    </xf>
    <xf numFmtId="21" fontId="6" fillId="12" borderId="15" xfId="0" applyNumberFormat="1" applyFont="1" applyFill="1" applyBorder="1" applyAlignment="1">
      <alignment horizontal="center"/>
    </xf>
    <xf numFmtId="21" fontId="1" fillId="17" borderId="0" xfId="0" applyNumberFormat="1" applyFont="1" applyFill="1" applyAlignment="1">
      <alignment horizontal="center" wrapText="1"/>
    </xf>
    <xf numFmtId="21" fontId="1" fillId="15" borderId="11" xfId="0" applyNumberFormat="1" applyFont="1" applyFill="1" applyBorder="1" applyAlignment="1">
      <alignment horizontal="center"/>
    </xf>
    <xf numFmtId="0" fontId="1" fillId="17" borderId="11" xfId="0" applyFont="1" applyFill="1" applyBorder="1" applyAlignment="1">
      <alignment horizontal="center"/>
    </xf>
    <xf numFmtId="21" fontId="6" fillId="17" borderId="0" xfId="0" applyNumberFormat="1" applyFont="1" applyFill="1" applyAlignment="1">
      <alignment horizontal="center"/>
    </xf>
    <xf numFmtId="21" fontId="1" fillId="21" borderId="1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4" fillId="0" borderId="3" xfId="0" applyFont="1" applyBorder="1" applyAlignment="1"/>
    <xf numFmtId="0" fontId="4" fillId="0" borderId="4" xfId="0" applyFont="1" applyBorder="1" applyAlignment="1"/>
    <xf numFmtId="0" fontId="4" fillId="0" borderId="6" xfId="0" applyFont="1" applyBorder="1" applyAlignment="1"/>
    <xf numFmtId="0" fontId="4" fillId="0" borderId="7" xfId="0" applyFont="1" applyBorder="1" applyAlignment="1"/>
    <xf numFmtId="0" fontId="4" fillId="0" borderId="8" xfId="0" applyFont="1" applyBorder="1" applyAlignment="1"/>
    <xf numFmtId="0" fontId="0" fillId="0" borderId="0" xfId="0" applyAlignment="1"/>
    <xf numFmtId="0" fontId="4" fillId="0" borderId="12" xfId="0" applyFont="1" applyBorder="1" applyAlignment="1"/>
    <xf numFmtId="0" fontId="4" fillId="0" borderId="14" xfId="0" applyFont="1" applyBorder="1" applyAlignment="1"/>
    <xf numFmtId="0" fontId="1" fillId="0" borderId="2" xfId="0" applyFont="1" applyBorder="1" applyAlignment="1"/>
    <xf numFmtId="0" fontId="7" fillId="0" borderId="5" xfId="0" applyFont="1" applyBorder="1" applyAlignment="1"/>
    <xf numFmtId="0" fontId="4" fillId="0" borderId="15" xfId="0" applyFont="1" applyBorder="1" applyAlignment="1"/>
    <xf numFmtId="0" fontId="4" fillId="0" borderId="17" xfId="0" applyFont="1" applyBorder="1" applyAlignment="1"/>
    <xf numFmtId="0" fontId="4" fillId="0" borderId="18" xfId="0" applyFont="1" applyBorder="1" applyAlignment="1"/>
    <xf numFmtId="0" fontId="4" fillId="0" borderId="13" xfId="0" applyFont="1" applyBorder="1" applyAlignment="1"/>
    <xf numFmtId="0" fontId="1" fillId="0" borderId="0" xfId="0" applyFont="1" applyAlignment="1"/>
    <xf numFmtId="0" fontId="1" fillId="0" borderId="11" xfId="0" applyFont="1" applyBorder="1" applyAlignment="1"/>
    <xf numFmtId="21" fontId="1" fillId="0" borderId="11" xfId="0" applyNumberFormat="1" applyFont="1" applyBorder="1" applyAlignment="1"/>
    <xf numFmtId="21" fontId="1" fillId="0" borderId="0" xfId="0" applyNumberFormat="1" applyFont="1" applyAlignment="1"/>
    <xf numFmtId="0" fontId="4" fillId="0" borderId="11" xfId="0" applyFont="1" applyBorder="1" applyAlignment="1"/>
    <xf numFmtId="0" fontId="6" fillId="0" borderId="11" xfId="0" applyFont="1" applyBorder="1" applyAlignment="1"/>
    <xf numFmtId="21" fontId="1" fillId="0" borderId="12" xfId="0" applyNumberFormat="1" applyFont="1" applyBorder="1" applyAlignment="1"/>
    <xf numFmtId="21" fontId="6" fillId="0" borderId="11" xfId="0" applyNumberFormat="1" applyFont="1" applyBorder="1" applyAlignment="1"/>
    <xf numFmtId="21" fontId="1" fillId="17" borderId="11" xfId="0" applyNumberFormat="1" applyFont="1" applyFill="1" applyBorder="1" applyAlignment="1"/>
    <xf numFmtId="0" fontId="1" fillId="17" borderId="11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customschemas.google.com/relationships/workbookmetadata" Target="metadata"/><Relationship Id="rId10" Type="http://schemas.openxmlformats.org/officeDocument/2006/relationships/customXml" Target="../customXml/item1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G1000"/>
  <sheetViews>
    <sheetView tabSelected="1" workbookViewId="0">
      <selection activeCell="C14" sqref="C14"/>
    </sheetView>
  </sheetViews>
  <sheetFormatPr defaultColWidth="12.5703125" defaultRowHeight="15" customHeight="1" outlineLevelRow="3"/>
  <cols>
    <col min="1" max="1" width="51.140625" customWidth="1"/>
    <col min="2" max="2" width="32.7109375" customWidth="1"/>
    <col min="3" max="3" width="45.85546875" customWidth="1"/>
    <col min="4" max="4" width="28" customWidth="1"/>
    <col min="5" max="5" width="22.5703125" customWidth="1"/>
    <col min="6" max="6" width="36.5703125" customWidth="1"/>
    <col min="9" max="9" width="19.7109375" customWidth="1"/>
    <col min="13" max="13" width="24.140625" customWidth="1"/>
    <col min="14" max="14" width="22.28515625" customWidth="1"/>
  </cols>
  <sheetData>
    <row r="1" spans="1:33" ht="15.75" customHeight="1">
      <c r="A1" s="1"/>
      <c r="B1" s="2"/>
      <c r="C1" s="2"/>
      <c r="D1" s="2"/>
      <c r="E1" s="2"/>
      <c r="F1" s="1"/>
      <c r="G1" s="1"/>
      <c r="H1" s="1"/>
      <c r="I1" s="1"/>
      <c r="J1" s="1"/>
      <c r="K1" s="1"/>
    </row>
    <row r="2" spans="1:33" ht="15.75" customHeight="1">
      <c r="A2" s="182" t="s">
        <v>0</v>
      </c>
      <c r="B2" s="183">
        <v>46106</v>
      </c>
      <c r="C2" s="229"/>
      <c r="D2" s="229"/>
      <c r="E2" s="230"/>
      <c r="F2" s="183">
        <v>46108</v>
      </c>
      <c r="G2" s="230"/>
      <c r="H2" s="184">
        <v>46111</v>
      </c>
      <c r="I2" s="231"/>
      <c r="J2" s="232"/>
      <c r="K2" s="183">
        <v>46112</v>
      </c>
      <c r="L2" s="229"/>
      <c r="M2" s="229"/>
      <c r="N2" s="230"/>
      <c r="O2" s="185">
        <v>46113</v>
      </c>
      <c r="P2" s="229"/>
      <c r="Q2" s="230"/>
      <c r="S2" s="186"/>
    </row>
    <row r="3" spans="1:33" ht="15.75" customHeight="1">
      <c r="A3" s="233"/>
      <c r="B3" s="3" t="s">
        <v>1</v>
      </c>
      <c r="C3" s="4" t="s">
        <v>2</v>
      </c>
      <c r="D3" s="5" t="s">
        <v>3</v>
      </c>
      <c r="E3" s="5" t="s">
        <v>4</v>
      </c>
      <c r="F3" s="6" t="s">
        <v>5</v>
      </c>
      <c r="G3" s="7" t="s">
        <v>6</v>
      </c>
      <c r="H3" s="3" t="s">
        <v>7</v>
      </c>
      <c r="I3" s="187" t="s">
        <v>8</v>
      </c>
      <c r="J3" s="230"/>
      <c r="K3" s="8" t="s">
        <v>9</v>
      </c>
      <c r="L3" s="9" t="s">
        <v>10</v>
      </c>
      <c r="M3" s="188" t="s">
        <v>11</v>
      </c>
      <c r="N3" s="230"/>
      <c r="O3" s="10" t="s">
        <v>12</v>
      </c>
      <c r="P3" s="11" t="s">
        <v>9</v>
      </c>
      <c r="Q3" s="12" t="s">
        <v>13</v>
      </c>
      <c r="S3" s="234"/>
    </row>
    <row r="4" spans="1:33" ht="15.75" customHeight="1">
      <c r="A4" s="13" t="s">
        <v>14</v>
      </c>
      <c r="B4" s="14">
        <v>2.0833333333333335E-4</v>
      </c>
      <c r="C4" s="14">
        <v>2.0833333333333335E-4</v>
      </c>
      <c r="D4" s="14">
        <v>2.199074074074074E-4</v>
      </c>
      <c r="E4" s="14">
        <v>3.0092592592592595E-4</v>
      </c>
      <c r="F4" s="15">
        <v>2.4305555555555555E-4</v>
      </c>
      <c r="G4" s="16">
        <v>1.1574074074074075E-4</v>
      </c>
      <c r="H4" s="14">
        <v>6.9444444444444444E-5</v>
      </c>
      <c r="I4" s="179">
        <v>2.0833333333333335E-4</v>
      </c>
      <c r="J4" s="235"/>
      <c r="K4" s="14">
        <v>1.6203703703703703E-4</v>
      </c>
      <c r="L4" s="14">
        <v>9.2592592592592588E-5</v>
      </c>
      <c r="M4" s="176">
        <v>2.8935185185185184E-4</v>
      </c>
      <c r="N4" s="235"/>
      <c r="O4" s="18">
        <v>6.018518518518519E-4</v>
      </c>
      <c r="P4" s="18">
        <v>2.5462962962962961E-4</v>
      </c>
      <c r="Q4" s="19">
        <v>5.4398148148148144E-4</v>
      </c>
    </row>
    <row r="5" spans="1:33" ht="15.75" customHeight="1">
      <c r="A5" s="13" t="s">
        <v>15</v>
      </c>
      <c r="B5" s="14">
        <v>4.0509259259259258E-4</v>
      </c>
      <c r="C5" s="14">
        <v>6.4814814814814813E-4</v>
      </c>
      <c r="D5" s="14">
        <v>2.199074074074074E-4</v>
      </c>
      <c r="E5" s="14">
        <v>6.2500000000000001E-4</v>
      </c>
      <c r="F5" s="17">
        <v>1.0416666666666667E-3</v>
      </c>
      <c r="G5" s="14">
        <v>7.407407407407407E-4</v>
      </c>
      <c r="H5" s="14">
        <v>3.4722222222222224E-4</v>
      </c>
      <c r="I5" s="179">
        <v>3.4722222222222224E-4</v>
      </c>
      <c r="J5" s="235"/>
      <c r="K5" s="14">
        <v>7.1759259259259259E-4</v>
      </c>
      <c r="L5" s="14">
        <v>3.4722222222222224E-4</v>
      </c>
      <c r="M5" s="176">
        <v>2.0833333333333335E-4</v>
      </c>
      <c r="N5" s="235"/>
      <c r="O5" s="18">
        <v>8.3333333333333339E-4</v>
      </c>
      <c r="P5" s="18">
        <v>9.9537037037037042E-4</v>
      </c>
      <c r="Q5" s="19">
        <v>4.5138888888888887E-4</v>
      </c>
    </row>
    <row r="6" spans="1:33" ht="15.75" customHeight="1" collapsed="1">
      <c r="A6" s="13" t="s">
        <v>16</v>
      </c>
      <c r="B6" s="14">
        <f>SUM(B7:B8)</f>
        <v>2.5462962962962961E-4</v>
      </c>
      <c r="C6" s="14">
        <v>2.7777777777777778E-4</v>
      </c>
      <c r="D6" s="14">
        <v>7.1759259259259259E-4</v>
      </c>
      <c r="E6" s="14">
        <v>1.0416666666666667E-3</v>
      </c>
      <c r="F6" s="17">
        <v>6.9444444444444444E-5</v>
      </c>
      <c r="G6" s="14">
        <f>SUM(G7:G8)</f>
        <v>3.2407407407407406E-4</v>
      </c>
      <c r="H6" s="14">
        <v>5.4398148148148144E-4</v>
      </c>
      <c r="I6" s="179">
        <v>3.9351851851851852E-4</v>
      </c>
      <c r="J6" s="235"/>
      <c r="K6" s="14">
        <v>6.7129629629629625E-4</v>
      </c>
      <c r="L6" s="14">
        <f t="shared" ref="L6:M6" si="0">SUM(L7:L8)</f>
        <v>2.0833333333333332E-4</v>
      </c>
      <c r="M6" s="176">
        <f t="shared" si="0"/>
        <v>3.8194444444444441E-4</v>
      </c>
      <c r="N6" s="235"/>
      <c r="O6" s="18">
        <f t="shared" ref="O6:Q6" si="1">SUM(O7:O8)</f>
        <v>3.7037037037037041E-4</v>
      </c>
      <c r="P6" s="18">
        <f t="shared" si="1"/>
        <v>6.2500000000000001E-4</v>
      </c>
      <c r="Q6" s="19">
        <f t="shared" si="1"/>
        <v>8.1018518518518527E-4</v>
      </c>
    </row>
    <row r="7" spans="1:33" ht="15.75" hidden="1" customHeight="1" outlineLevel="1">
      <c r="A7" s="20" t="s">
        <v>17</v>
      </c>
      <c r="B7" s="21">
        <v>1.1574074074074075E-4</v>
      </c>
      <c r="C7" s="22" t="s">
        <v>18</v>
      </c>
      <c r="D7" s="22" t="s">
        <v>18</v>
      </c>
      <c r="E7" s="22" t="s">
        <v>18</v>
      </c>
      <c r="F7" s="175">
        <v>7.7546296296296293E-4</v>
      </c>
      <c r="G7" s="21">
        <v>1.5046296296296297E-4</v>
      </c>
      <c r="H7" s="22" t="s">
        <v>18</v>
      </c>
      <c r="I7" s="189" t="s">
        <v>18</v>
      </c>
      <c r="J7" s="235"/>
      <c r="K7" s="23" t="s">
        <v>18</v>
      </c>
      <c r="L7" s="21">
        <v>9.2592592592592588E-5</v>
      </c>
      <c r="M7" s="175">
        <v>2.5462962962962961E-4</v>
      </c>
      <c r="N7" s="235"/>
      <c r="O7" s="24">
        <v>1.6203703703703703E-4</v>
      </c>
      <c r="P7" s="24">
        <v>3.8194444444444446E-4</v>
      </c>
      <c r="Q7" s="25">
        <v>4.9768518518518521E-4</v>
      </c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</row>
    <row r="8" spans="1:33" ht="15.75" hidden="1" customHeight="1" outlineLevel="1">
      <c r="A8" s="20" t="s">
        <v>17</v>
      </c>
      <c r="B8" s="21">
        <v>1.3888888888888889E-4</v>
      </c>
      <c r="C8" s="22" t="s">
        <v>18</v>
      </c>
      <c r="D8" s="22" t="s">
        <v>18</v>
      </c>
      <c r="E8" s="22" t="s">
        <v>18</v>
      </c>
      <c r="F8" s="234"/>
      <c r="G8" s="21">
        <v>1.7361111111111112E-4</v>
      </c>
      <c r="H8" s="22" t="s">
        <v>18</v>
      </c>
      <c r="I8" s="189" t="s">
        <v>18</v>
      </c>
      <c r="J8" s="235"/>
      <c r="K8" s="23" t="s">
        <v>18</v>
      </c>
      <c r="L8" s="21">
        <v>1.1574074074074075E-4</v>
      </c>
      <c r="M8" s="175">
        <v>1.273148148148148E-4</v>
      </c>
      <c r="N8" s="235"/>
      <c r="O8" s="24">
        <v>2.0833333333333335E-4</v>
      </c>
      <c r="P8" s="24">
        <v>2.4305555555555555E-4</v>
      </c>
      <c r="Q8" s="25">
        <v>3.1250000000000001E-4</v>
      </c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</row>
    <row r="9" spans="1:33" ht="15.75" customHeight="1" collapsed="1">
      <c r="A9" s="13" t="s">
        <v>19</v>
      </c>
      <c r="B9" s="14">
        <v>7.9861111111111116E-4</v>
      </c>
      <c r="C9" s="14">
        <v>6.9444444444444444E-5</v>
      </c>
      <c r="D9" s="14">
        <v>1.6203703703703703E-4</v>
      </c>
      <c r="E9" s="14">
        <v>2.199074074074074E-4</v>
      </c>
      <c r="F9" s="17">
        <v>3.0092592592592595E-4</v>
      </c>
      <c r="G9" s="14">
        <v>1.6203703703703703E-4</v>
      </c>
      <c r="H9" s="14">
        <v>1.6203703703703703E-4</v>
      </c>
      <c r="I9" s="179">
        <v>8.1018518518518516E-5</v>
      </c>
      <c r="J9" s="235"/>
      <c r="K9" s="14">
        <v>6.9444444444444444E-5</v>
      </c>
      <c r="L9" s="14">
        <v>1.0416666666666667E-4</v>
      </c>
      <c r="M9" s="176">
        <f>SUM(M10:M11)</f>
        <v>2.1990740740740738E-4</v>
      </c>
      <c r="N9" s="235"/>
      <c r="O9" s="18">
        <f t="shared" ref="O9:Q9" si="2">SUM(O10:O11)</f>
        <v>1.7361111111111112E-4</v>
      </c>
      <c r="P9" s="18">
        <f t="shared" si="2"/>
        <v>3.5879629629629629E-4</v>
      </c>
      <c r="Q9" s="19">
        <f t="shared" si="2"/>
        <v>2.5462962962962966E-4</v>
      </c>
    </row>
    <row r="10" spans="1:33" ht="15.75" hidden="1" customHeight="1" outlineLevel="1">
      <c r="A10" s="27" t="s">
        <v>20</v>
      </c>
      <c r="B10" s="22" t="s">
        <v>18</v>
      </c>
      <c r="C10" s="22" t="s">
        <v>18</v>
      </c>
      <c r="D10" s="22" t="s">
        <v>18</v>
      </c>
      <c r="E10" s="22" t="s">
        <v>18</v>
      </c>
      <c r="F10" s="28" t="s">
        <v>18</v>
      </c>
      <c r="G10" s="23" t="s">
        <v>18</v>
      </c>
      <c r="H10" s="22" t="s">
        <v>18</v>
      </c>
      <c r="I10" s="22"/>
      <c r="J10" s="29"/>
      <c r="K10" s="23" t="s">
        <v>18</v>
      </c>
      <c r="L10" s="23" t="s">
        <v>18</v>
      </c>
      <c r="M10" s="175">
        <v>1.273148148148148E-4</v>
      </c>
      <c r="N10" s="235"/>
      <c r="O10" s="24">
        <v>1.1574074074074075E-4</v>
      </c>
      <c r="P10" s="24">
        <v>1.1574074074074075E-4</v>
      </c>
      <c r="Q10" s="25">
        <v>1.0416666666666667E-4</v>
      </c>
      <c r="R10" s="30"/>
      <c r="S10" s="26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</row>
    <row r="11" spans="1:33" ht="15.75" hidden="1" customHeight="1" outlineLevel="1">
      <c r="A11" s="27" t="s">
        <v>21</v>
      </c>
      <c r="B11" s="22" t="s">
        <v>18</v>
      </c>
      <c r="C11" s="22" t="s">
        <v>18</v>
      </c>
      <c r="D11" s="22" t="s">
        <v>18</v>
      </c>
      <c r="E11" s="22" t="s">
        <v>18</v>
      </c>
      <c r="F11" s="28" t="s">
        <v>18</v>
      </c>
      <c r="G11" s="23" t="s">
        <v>18</v>
      </c>
      <c r="H11" s="22" t="s">
        <v>18</v>
      </c>
      <c r="I11" s="22"/>
      <c r="J11" s="29"/>
      <c r="K11" s="23" t="s">
        <v>18</v>
      </c>
      <c r="L11" s="23" t="s">
        <v>18</v>
      </c>
      <c r="M11" s="175">
        <v>9.2592592592592588E-5</v>
      </c>
      <c r="N11" s="235"/>
      <c r="O11" s="24">
        <v>5.7870370370370373E-5</v>
      </c>
      <c r="P11" s="24">
        <v>2.4305555555555555E-4</v>
      </c>
      <c r="Q11" s="25">
        <v>1.5046296296296297E-4</v>
      </c>
      <c r="R11" s="30"/>
      <c r="S11" s="26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</row>
    <row r="12" spans="1:33" ht="15.75" customHeight="1">
      <c r="A12" s="13" t="s">
        <v>22</v>
      </c>
      <c r="B12" s="14">
        <v>2.7777777777777778E-4</v>
      </c>
      <c r="C12" s="14">
        <v>4.3981481481481481E-4</v>
      </c>
      <c r="D12" s="14">
        <v>3.1250000000000001E-4</v>
      </c>
      <c r="E12" s="14">
        <v>4.0509259259259258E-4</v>
      </c>
      <c r="F12" s="17">
        <v>2.5462962962962961E-4</v>
      </c>
      <c r="G12" s="14">
        <v>4.7453703703703704E-4</v>
      </c>
      <c r="H12" s="14">
        <v>5.2083333333333333E-4</v>
      </c>
      <c r="I12" s="179">
        <v>6.5972222222222224E-4</v>
      </c>
      <c r="J12" s="235"/>
      <c r="K12" s="14">
        <v>2.8935185185185184E-4</v>
      </c>
      <c r="L12" s="14">
        <v>1.9675925925925926E-4</v>
      </c>
      <c r="M12" s="176">
        <v>3.0092592592592595E-4</v>
      </c>
      <c r="N12" s="235"/>
      <c r="O12" s="18">
        <v>4.0509259259259258E-4</v>
      </c>
      <c r="P12" s="18">
        <v>1.3888888888888889E-4</v>
      </c>
      <c r="Q12" s="19">
        <v>2.8935185185185184E-4</v>
      </c>
    </row>
    <row r="13" spans="1:33" ht="15.75" customHeight="1">
      <c r="A13" s="13" t="s">
        <v>23</v>
      </c>
      <c r="B13" s="14">
        <v>4.0509259259259258E-4</v>
      </c>
      <c r="C13" s="14">
        <v>1.3888888888888889E-4</v>
      </c>
      <c r="D13" s="14">
        <v>3.4722222222222224E-4</v>
      </c>
      <c r="E13" s="14">
        <v>1.0416666666666667E-4</v>
      </c>
      <c r="F13" s="17">
        <v>3.5879629629629629E-4</v>
      </c>
      <c r="G13" s="14">
        <v>1.7361111111111112E-4</v>
      </c>
      <c r="H13" s="14">
        <v>1.3888888888888889E-4</v>
      </c>
      <c r="I13" s="179">
        <v>1.7361111111111112E-4</v>
      </c>
      <c r="J13" s="235"/>
      <c r="K13" s="14">
        <v>2.0833333333333335E-4</v>
      </c>
      <c r="L13" s="14">
        <v>2.7777777777777778E-4</v>
      </c>
      <c r="M13" s="176">
        <v>2.199074074074074E-4</v>
      </c>
      <c r="N13" s="235"/>
      <c r="O13" s="18">
        <v>3.1250000000000001E-4</v>
      </c>
      <c r="P13" s="18">
        <v>1.1574074074074075E-4</v>
      </c>
      <c r="Q13" s="19">
        <v>3.0092592592592595E-4</v>
      </c>
    </row>
    <row r="14" spans="1:33" ht="15.75" customHeight="1">
      <c r="A14" s="13" t="s">
        <v>19</v>
      </c>
      <c r="B14" s="14">
        <v>1.9675925925925926E-4</v>
      </c>
      <c r="C14" s="14">
        <v>2.3148148148148149E-4</v>
      </c>
      <c r="D14" s="14">
        <v>3.9351851851851852E-4</v>
      </c>
      <c r="E14" s="14">
        <v>1.8518518518518518E-4</v>
      </c>
      <c r="F14" s="17">
        <v>6.134259259259259E-4</v>
      </c>
      <c r="G14" s="14">
        <v>1.5046296296296297E-4</v>
      </c>
      <c r="H14" s="14">
        <v>2.4305555555555555E-4</v>
      </c>
      <c r="I14" s="179">
        <v>3.0092592592592595E-4</v>
      </c>
      <c r="J14" s="235"/>
      <c r="K14" s="14">
        <v>3.1250000000000001E-4</v>
      </c>
      <c r="L14" s="14">
        <v>1.8518518518518518E-4</v>
      </c>
      <c r="M14" s="176">
        <v>7.8703703703703705E-4</v>
      </c>
      <c r="N14" s="235"/>
      <c r="O14" s="18">
        <v>1.1458333333333333E-3</v>
      </c>
      <c r="P14" s="18">
        <v>1.724537037037037E-3</v>
      </c>
      <c r="Q14" s="19">
        <v>3.1250000000000001E-4</v>
      </c>
    </row>
    <row r="15" spans="1:33" ht="15.75" customHeight="1">
      <c r="A15" s="13" t="s">
        <v>24</v>
      </c>
      <c r="B15" s="14">
        <v>4.6296296296296294E-5</v>
      </c>
      <c r="C15" s="14">
        <v>4.1666666666666669E-4</v>
      </c>
      <c r="D15" s="14">
        <v>1.6203703703703703E-4</v>
      </c>
      <c r="E15" s="14">
        <v>3.9351851851851852E-4</v>
      </c>
      <c r="F15" s="31">
        <v>2.7777777777777778E-4</v>
      </c>
      <c r="G15" s="14">
        <v>9.2592592592592588E-5</v>
      </c>
      <c r="H15" s="14">
        <v>1.7361111111111112E-4</v>
      </c>
      <c r="I15" s="179">
        <v>3.2407407407407406E-4</v>
      </c>
      <c r="J15" s="235"/>
      <c r="K15" s="14">
        <v>4.0509259259259258E-4</v>
      </c>
      <c r="L15" s="14">
        <v>9.2592592592592588E-5</v>
      </c>
      <c r="M15" s="176">
        <v>1.0416666666666667E-4</v>
      </c>
      <c r="N15" s="235"/>
      <c r="O15" s="18">
        <v>1.6203703703703703E-4</v>
      </c>
      <c r="P15" s="18">
        <v>1.7361111111111112E-4</v>
      </c>
      <c r="Q15" s="19">
        <v>3.7037037037037035E-4</v>
      </c>
    </row>
    <row r="16" spans="1:33" ht="15.75" customHeight="1">
      <c r="A16" s="32" t="s">
        <v>25</v>
      </c>
      <c r="B16" s="14">
        <v>1.5046296296296297E-4</v>
      </c>
      <c r="C16" s="14">
        <v>1.5046296296296297E-4</v>
      </c>
      <c r="D16" s="14">
        <v>3.1250000000000001E-4</v>
      </c>
      <c r="E16" s="14">
        <v>1.8518518518518518E-4</v>
      </c>
      <c r="F16" s="17">
        <v>3.0092592592592595E-4</v>
      </c>
      <c r="G16" s="14">
        <v>3.1250000000000001E-4</v>
      </c>
      <c r="H16" s="14">
        <v>5.7870370370370373E-5</v>
      </c>
      <c r="I16" s="179">
        <v>1.0416666666666667E-4</v>
      </c>
      <c r="J16" s="235"/>
      <c r="K16" s="14">
        <v>4.7453703703703704E-4</v>
      </c>
      <c r="L16" s="14">
        <v>1.3888888888888889E-4</v>
      </c>
      <c r="M16" s="176">
        <v>1.1574074074074075E-4</v>
      </c>
      <c r="N16" s="235"/>
      <c r="O16" s="18">
        <v>2.6620370370370372E-4</v>
      </c>
      <c r="P16" s="18">
        <v>1.273148148148148E-4</v>
      </c>
      <c r="Q16" s="19">
        <v>1.9675925925925926E-4</v>
      </c>
    </row>
    <row r="17" spans="1:33" ht="15.75" customHeight="1">
      <c r="A17" s="32" t="s">
        <v>19</v>
      </c>
      <c r="B17" s="14">
        <v>9.2592592592592588E-5</v>
      </c>
      <c r="C17" s="14">
        <v>4.2824074074074075E-4</v>
      </c>
      <c r="D17" s="14">
        <v>4.5138888888888887E-4</v>
      </c>
      <c r="E17" s="14">
        <v>6.2500000000000001E-4</v>
      </c>
      <c r="F17" s="17">
        <v>1.273148148148148E-4</v>
      </c>
      <c r="G17" s="14">
        <v>2.0833333333333335E-4</v>
      </c>
      <c r="H17" s="14">
        <v>1.1574074074074075E-4</v>
      </c>
      <c r="I17" s="179">
        <v>4.3981481481481481E-4</v>
      </c>
      <c r="J17" s="235"/>
      <c r="K17" s="14">
        <v>6.9444444444444447E-4</v>
      </c>
      <c r="L17" s="14">
        <v>1.8518518518518518E-4</v>
      </c>
      <c r="M17" s="176">
        <v>1.0185185185185184E-3</v>
      </c>
      <c r="N17" s="235"/>
      <c r="O17" s="18">
        <v>5.9027777777777778E-4</v>
      </c>
      <c r="P17" s="18">
        <v>8.1018518518518516E-5</v>
      </c>
      <c r="Q17" s="19">
        <v>6.134259259259259E-4</v>
      </c>
    </row>
    <row r="18" spans="1:33" ht="15.75" customHeight="1">
      <c r="A18" s="32" t="s">
        <v>24</v>
      </c>
      <c r="B18" s="14">
        <v>1.0763888888888889E-3</v>
      </c>
      <c r="C18" s="14">
        <v>1.261574074074074E-3</v>
      </c>
      <c r="D18" s="14">
        <v>2.673611111111111E-3</v>
      </c>
      <c r="E18" s="14">
        <v>2.1990740740740742E-3</v>
      </c>
      <c r="F18" s="17">
        <v>4.2824074074074075E-4</v>
      </c>
      <c r="G18" s="14">
        <v>7.0601851851851847E-4</v>
      </c>
      <c r="H18" s="14">
        <v>1.4467592592592592E-3</v>
      </c>
      <c r="I18" s="179">
        <v>1.1111111111111111E-3</v>
      </c>
      <c r="J18" s="235"/>
      <c r="K18" s="14">
        <v>7.8703703703703705E-4</v>
      </c>
      <c r="L18" s="14">
        <v>1.1574074074074073E-3</v>
      </c>
      <c r="M18" s="176">
        <v>3.6689814814814814E-3</v>
      </c>
      <c r="N18" s="235"/>
      <c r="O18" s="18">
        <v>1.4004629629629629E-3</v>
      </c>
      <c r="P18" s="18">
        <v>1.4583333333333334E-3</v>
      </c>
      <c r="Q18" s="19">
        <v>2.2337962962962962E-3</v>
      </c>
    </row>
    <row r="19" spans="1:33" ht="15.75" customHeight="1" collapsed="1">
      <c r="A19" s="13" t="s">
        <v>26</v>
      </c>
      <c r="B19" s="33" t="s">
        <v>18</v>
      </c>
      <c r="C19" s="14">
        <v>2.4305555555555555E-4</v>
      </c>
      <c r="D19" s="14">
        <v>2.7777777777777778E-4</v>
      </c>
      <c r="E19" s="33" t="s">
        <v>18</v>
      </c>
      <c r="F19" s="17">
        <v>1.3888888888888889E-4</v>
      </c>
      <c r="G19" s="14">
        <v>1.5046296296296297E-4</v>
      </c>
      <c r="H19" s="14">
        <v>1.3888888888888889E-4</v>
      </c>
      <c r="I19" s="179">
        <v>2.199074074074074E-4</v>
      </c>
      <c r="J19" s="235"/>
      <c r="K19" s="14">
        <v>1.9675925925925926E-4</v>
      </c>
      <c r="L19" s="14">
        <f t="shared" ref="L19:M19" si="3">SUM(L20:L21)</f>
        <v>2.0833333333333335E-4</v>
      </c>
      <c r="M19" s="176">
        <f t="shared" si="3"/>
        <v>2.4305555555555555E-4</v>
      </c>
      <c r="N19" s="235"/>
      <c r="O19" s="18">
        <f t="shared" ref="O19:Q19" si="4">SUM(O20:O21)</f>
        <v>2.5462962962962961E-4</v>
      </c>
      <c r="P19" s="18">
        <f t="shared" si="4"/>
        <v>1.7361111111111109E-4</v>
      </c>
      <c r="Q19" s="19">
        <f t="shared" si="4"/>
        <v>4.7453703703703704E-4</v>
      </c>
    </row>
    <row r="20" spans="1:33" ht="15.75" hidden="1" customHeight="1" outlineLevel="1">
      <c r="A20" s="27" t="s">
        <v>27</v>
      </c>
      <c r="B20" s="22" t="s">
        <v>18</v>
      </c>
      <c r="C20" s="22" t="s">
        <v>18</v>
      </c>
      <c r="D20" s="22" t="s">
        <v>18</v>
      </c>
      <c r="E20" s="22" t="s">
        <v>18</v>
      </c>
      <c r="F20" s="28" t="s">
        <v>18</v>
      </c>
      <c r="G20" s="23" t="s">
        <v>18</v>
      </c>
      <c r="H20" s="22" t="s">
        <v>18</v>
      </c>
      <c r="I20" s="22"/>
      <c r="J20" s="29"/>
      <c r="K20" s="23" t="s">
        <v>18</v>
      </c>
      <c r="L20" s="21">
        <v>1.0416666666666667E-4</v>
      </c>
      <c r="M20" s="175">
        <v>8.1018518518518516E-5</v>
      </c>
      <c r="N20" s="235"/>
      <c r="O20" s="24">
        <v>1.3888888888888889E-4</v>
      </c>
      <c r="P20" s="24">
        <v>8.1018518518518516E-5</v>
      </c>
      <c r="Q20" s="25">
        <v>1.5046296296296297E-4</v>
      </c>
      <c r="R20" s="30"/>
      <c r="S20" s="26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</row>
    <row r="21" spans="1:33" ht="15.75" hidden="1" customHeight="1" outlineLevel="1">
      <c r="A21" s="27" t="s">
        <v>28</v>
      </c>
      <c r="B21" s="22" t="s">
        <v>18</v>
      </c>
      <c r="C21" s="22" t="s">
        <v>18</v>
      </c>
      <c r="D21" s="22" t="s">
        <v>18</v>
      </c>
      <c r="E21" s="22" t="s">
        <v>18</v>
      </c>
      <c r="F21" s="28" t="s">
        <v>18</v>
      </c>
      <c r="G21" s="23" t="s">
        <v>18</v>
      </c>
      <c r="H21" s="22" t="s">
        <v>18</v>
      </c>
      <c r="I21" s="22"/>
      <c r="J21" s="29"/>
      <c r="K21" s="23" t="s">
        <v>18</v>
      </c>
      <c r="L21" s="21">
        <v>1.0416666666666667E-4</v>
      </c>
      <c r="M21" s="175">
        <v>1.6203703703703703E-4</v>
      </c>
      <c r="N21" s="235"/>
      <c r="O21" s="24">
        <v>1.1574074074074075E-4</v>
      </c>
      <c r="P21" s="24">
        <v>9.2592592592592588E-5</v>
      </c>
      <c r="Q21" s="25">
        <v>3.2407407407407406E-4</v>
      </c>
      <c r="R21" s="30"/>
      <c r="S21" s="26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</row>
    <row r="22" spans="1:33" ht="15.75" customHeight="1">
      <c r="A22" s="13" t="s">
        <v>29</v>
      </c>
      <c r="B22" s="14">
        <v>8.1018518518518516E-5</v>
      </c>
      <c r="C22" s="14">
        <v>1.273148148148148E-4</v>
      </c>
      <c r="D22" s="14">
        <v>3.2407407407407406E-4</v>
      </c>
      <c r="E22" s="14">
        <v>6.9444444444444444E-5</v>
      </c>
      <c r="F22" s="17">
        <v>8.1018518518518516E-5</v>
      </c>
      <c r="G22" s="14">
        <v>1.1574074074074075E-4</v>
      </c>
      <c r="H22" s="14">
        <v>8.1018518518518516E-5</v>
      </c>
      <c r="I22" s="179">
        <v>8.1018518518518516E-5</v>
      </c>
      <c r="J22" s="235"/>
      <c r="K22" s="14">
        <v>4.6296296296296294E-5</v>
      </c>
      <c r="L22" s="14">
        <v>1.1574074074074075E-4</v>
      </c>
      <c r="M22" s="176">
        <v>2.6620370370370372E-4</v>
      </c>
      <c r="N22" s="235"/>
      <c r="O22" s="18">
        <v>2.3148148148148149E-4</v>
      </c>
      <c r="P22" s="18">
        <v>8.1018518518518516E-5</v>
      </c>
      <c r="Q22" s="19">
        <v>5.3240740740740744E-4</v>
      </c>
    </row>
    <row r="23" spans="1:33" ht="15.75" customHeight="1">
      <c r="A23" s="32" t="s">
        <v>22</v>
      </c>
      <c r="B23" s="14">
        <v>2.8935185185185184E-4</v>
      </c>
      <c r="C23" s="14">
        <v>4.861111111111111E-4</v>
      </c>
      <c r="D23" s="14">
        <v>3.5879629629629629E-4</v>
      </c>
      <c r="E23" s="14">
        <v>3.0092592592592595E-4</v>
      </c>
      <c r="F23" s="17">
        <v>3.1250000000000001E-4</v>
      </c>
      <c r="G23" s="14">
        <v>2.5462962962962961E-4</v>
      </c>
      <c r="H23" s="14">
        <v>3.4722222222222224E-4</v>
      </c>
      <c r="I23" s="179">
        <v>2.8935185185185184E-4</v>
      </c>
      <c r="J23" s="235"/>
      <c r="K23" s="14">
        <v>2.4305555555555555E-4</v>
      </c>
      <c r="L23" s="14">
        <v>1.9675925925925926E-4</v>
      </c>
      <c r="M23" s="176">
        <v>2.199074074074074E-4</v>
      </c>
      <c r="N23" s="235"/>
      <c r="O23" s="18">
        <v>2.7777777777777778E-4</v>
      </c>
      <c r="P23" s="18">
        <v>2.0833333333333335E-4</v>
      </c>
      <c r="Q23" s="19">
        <v>3.9351851851851852E-4</v>
      </c>
    </row>
    <row r="24" spans="1:33" ht="15.75" customHeight="1">
      <c r="A24" s="13" t="s">
        <v>30</v>
      </c>
      <c r="B24" s="14">
        <v>9.2592592592592588E-5</v>
      </c>
      <c r="C24" s="14">
        <v>2.0833333333333335E-4</v>
      </c>
      <c r="D24" s="14">
        <v>4.2824074074074075E-4</v>
      </c>
      <c r="E24" s="14">
        <v>6.5162037037037037E-3</v>
      </c>
      <c r="F24" s="17">
        <v>2.7777777777777778E-4</v>
      </c>
      <c r="G24" s="14">
        <v>1.7361111111111112E-4</v>
      </c>
      <c r="H24" s="14">
        <v>2.199074074074074E-4</v>
      </c>
      <c r="I24" s="179">
        <v>2.0833333333333335E-4</v>
      </c>
      <c r="J24" s="235"/>
      <c r="K24" s="14">
        <v>4.9768518518518521E-4</v>
      </c>
      <c r="L24" s="14">
        <v>3.1250000000000001E-4</v>
      </c>
      <c r="M24" s="176">
        <v>1.273148148148148E-4</v>
      </c>
      <c r="N24" s="235"/>
      <c r="O24" s="18">
        <v>3.2407407407407406E-4</v>
      </c>
      <c r="P24" s="18">
        <v>8.3333333333333339E-4</v>
      </c>
      <c r="Q24" s="19">
        <v>4.0509259259259258E-4</v>
      </c>
    </row>
    <row r="25" spans="1:33" ht="15.75" customHeight="1">
      <c r="A25" s="13" t="s">
        <v>31</v>
      </c>
      <c r="B25" s="14">
        <v>4.6874999999999998E-3</v>
      </c>
      <c r="C25" s="14">
        <v>1.9675925925925926E-4</v>
      </c>
      <c r="D25" s="14">
        <v>2.199074074074074E-4</v>
      </c>
      <c r="E25" s="14">
        <v>2.3148148148148149E-4</v>
      </c>
      <c r="F25" s="31">
        <v>4.2129629629629626E-3</v>
      </c>
      <c r="G25" s="14">
        <v>1.0416666666666667E-4</v>
      </c>
      <c r="H25" s="33" t="s">
        <v>18</v>
      </c>
      <c r="I25" s="180" t="s">
        <v>18</v>
      </c>
      <c r="J25" s="235"/>
      <c r="K25" s="14">
        <v>7.8703703703703705E-4</v>
      </c>
      <c r="L25" s="34" t="s">
        <v>18</v>
      </c>
      <c r="M25" s="176">
        <v>2.650462962962963E-3</v>
      </c>
      <c r="N25" s="235"/>
      <c r="O25" s="18">
        <v>3.4722222222222224E-4</v>
      </c>
      <c r="P25" s="35"/>
      <c r="Q25" s="19">
        <v>5.3240740740740744E-4</v>
      </c>
    </row>
    <row r="26" spans="1:33" ht="15.75" customHeight="1">
      <c r="A26" s="32" t="s">
        <v>32</v>
      </c>
      <c r="B26" s="14">
        <v>2.0833333333333335E-4</v>
      </c>
      <c r="C26" s="14">
        <v>3.7037037037037035E-4</v>
      </c>
      <c r="D26" s="14">
        <v>9.6064814814814819E-4</v>
      </c>
      <c r="E26" s="14">
        <v>9.2592592592592588E-5</v>
      </c>
      <c r="F26" s="17">
        <v>2.3148148148148149E-4</v>
      </c>
      <c r="G26" s="14">
        <v>4.6296296296296294E-5</v>
      </c>
      <c r="H26" s="14">
        <v>1.7361111111111112E-4</v>
      </c>
      <c r="I26" s="179">
        <v>1.5046296296296297E-4</v>
      </c>
      <c r="J26" s="235"/>
      <c r="K26" s="14">
        <v>8.1018518518518516E-5</v>
      </c>
      <c r="L26" s="14">
        <v>1.273148148148148E-4</v>
      </c>
      <c r="M26" s="176">
        <v>2.5462962962962961E-4</v>
      </c>
      <c r="N26" s="235"/>
      <c r="O26" s="18">
        <v>1.273148148148148E-4</v>
      </c>
      <c r="P26" s="18">
        <v>1.273148148148148E-4</v>
      </c>
      <c r="Q26" s="19">
        <v>1.3888888888888889E-4</v>
      </c>
    </row>
    <row r="27" spans="1:33" ht="15.75" customHeight="1">
      <c r="A27" s="32" t="s">
        <v>33</v>
      </c>
      <c r="B27" s="33" t="s">
        <v>18</v>
      </c>
      <c r="C27" s="14">
        <v>1.3888888888888889E-4</v>
      </c>
      <c r="D27" s="14">
        <v>7.1759259259259259E-4</v>
      </c>
      <c r="E27" s="14">
        <v>3.3564814814814812E-4</v>
      </c>
      <c r="F27" s="36" t="s">
        <v>18</v>
      </c>
      <c r="G27" s="37" t="s">
        <v>18</v>
      </c>
      <c r="H27" s="33" t="s">
        <v>18</v>
      </c>
      <c r="I27" s="179">
        <v>4.6296296296296294E-5</v>
      </c>
      <c r="J27" s="235"/>
      <c r="K27" s="38">
        <v>8.1018518518518516E-5</v>
      </c>
      <c r="L27" s="38">
        <v>5.7870370370370373E-5</v>
      </c>
      <c r="M27" s="177">
        <v>5.7870370370370373E-5</v>
      </c>
      <c r="N27" s="236"/>
      <c r="O27" s="18">
        <v>1.273148148148148E-4</v>
      </c>
      <c r="P27" s="18">
        <v>6.9444444444444444E-5</v>
      </c>
      <c r="Q27" s="19">
        <v>4.1666666666666669E-4</v>
      </c>
    </row>
    <row r="28" spans="1:33" ht="15.75" customHeight="1">
      <c r="A28" s="39" t="s">
        <v>34</v>
      </c>
      <c r="B28" s="40">
        <f>SUM(B4:B26)</f>
        <v>9.525462962962963E-3</v>
      </c>
      <c r="C28" s="41">
        <f>SUM(E3:E26)</f>
        <v>1.3495370370370369E-2</v>
      </c>
      <c r="D28" s="42">
        <f>SUM(G3:G26)</f>
        <v>4.6296296296296294E-3</v>
      </c>
      <c r="E28" s="42">
        <f t="shared" ref="E28:I28" si="5">SUM(E4:E27)</f>
        <v>1.3831018518518517E-2</v>
      </c>
      <c r="F28" s="43">
        <f t="shared" si="5"/>
        <v>1.0046296296296296E-2</v>
      </c>
      <c r="G28" s="43">
        <f t="shared" si="5"/>
        <v>4.6296296296296294E-3</v>
      </c>
      <c r="H28" s="40">
        <f t="shared" si="5"/>
        <v>4.7800925925925919E-3</v>
      </c>
      <c r="I28" s="181">
        <f t="shared" si="5"/>
        <v>5.138888888888889E-3</v>
      </c>
      <c r="J28" s="230"/>
      <c r="K28" s="44">
        <f t="shared" ref="K28:L28" si="6">SUM(K4:K6,K9,K12:K19,K22:K27)</f>
        <v>6.7245370370370358E-3</v>
      </c>
      <c r="L28" s="45">
        <f t="shared" si="6"/>
        <v>4.0046296296296297E-3</v>
      </c>
      <c r="M28" s="178">
        <f>SUM(M4:M6,M9,M12:M19,M22:M26,M27)</f>
        <v>1.1134259259259259E-2</v>
      </c>
      <c r="N28" s="230"/>
      <c r="O28" s="46">
        <f t="shared" ref="O28:P28" si="7">SUM(O4:O5,O7:O8,O10:O18,O20:O27)</f>
        <v>7.951388888888888E-3</v>
      </c>
      <c r="P28" s="44">
        <f t="shared" si="7"/>
        <v>7.5462962962962957E-3</v>
      </c>
      <c r="Q28" s="47">
        <f>SUM(Q4:Q5,Q7:Q11,Q12:Q18,Q20:Q27)</f>
        <v>9.5254629629629595E-3</v>
      </c>
    </row>
    <row r="29" spans="1:33" ht="15.75" customHeight="1">
      <c r="A29" s="1"/>
      <c r="B29" s="1"/>
      <c r="C29" s="1"/>
      <c r="D29" s="237"/>
      <c r="E29" s="230"/>
      <c r="F29" s="1"/>
      <c r="G29" s="1"/>
      <c r="H29" s="1"/>
      <c r="I29" s="49" t="s">
        <v>35</v>
      </c>
      <c r="J29" s="50">
        <v>2.3842592592592591E-3</v>
      </c>
      <c r="K29" s="1"/>
      <c r="L29" s="1"/>
      <c r="M29" s="48" t="s">
        <v>36</v>
      </c>
      <c r="N29" s="51">
        <v>2.7777777777777779E-3</v>
      </c>
    </row>
    <row r="30" spans="1:33" ht="15.75" customHeight="1">
      <c r="A30" s="1"/>
      <c r="B30" s="1"/>
      <c r="C30" s="1"/>
      <c r="D30" s="52" t="s">
        <v>37</v>
      </c>
      <c r="E30" s="53">
        <f>E28-D28</f>
        <v>9.2013888888888874E-3</v>
      </c>
      <c r="F30" s="1"/>
      <c r="G30" s="1"/>
      <c r="H30" s="1"/>
      <c r="I30" s="54" t="s">
        <v>34</v>
      </c>
      <c r="J30" s="55">
        <f>SUM(I28,J29)</f>
        <v>7.5231481481481486E-3</v>
      </c>
      <c r="K30" s="1"/>
      <c r="L30" s="1"/>
      <c r="M30" s="56" t="s">
        <v>34</v>
      </c>
      <c r="N30" s="57">
        <f>SUM(M28,N29)</f>
        <v>1.3912037037037037E-2</v>
      </c>
    </row>
    <row r="31" spans="1:33" ht="15.75" customHeight="1">
      <c r="A31" s="58" t="s">
        <v>38</v>
      </c>
      <c r="B31" s="49" t="s">
        <v>39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59" t="s">
        <v>40</v>
      </c>
      <c r="N31" s="16">
        <v>7.407407407407407E-4</v>
      </c>
    </row>
    <row r="32" spans="1:33" ht="15.75" customHeight="1">
      <c r="A32" s="238" t="s">
        <v>41</v>
      </c>
      <c r="B32" s="35" t="s">
        <v>42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60" t="s">
        <v>34</v>
      </c>
      <c r="N32" s="61">
        <f>SUM(N30:N31)</f>
        <v>1.4652777777777778E-2</v>
      </c>
    </row>
    <row r="33" spans="1:33" ht="15.75" customHeight="1">
      <c r="A33" s="239"/>
      <c r="B33" s="62" t="s">
        <v>43</v>
      </c>
      <c r="C33" s="1"/>
      <c r="D33" s="1"/>
      <c r="E33" s="1"/>
      <c r="F33" s="1"/>
      <c r="G33" s="1"/>
      <c r="H33" s="1"/>
      <c r="I33" s="1"/>
      <c r="J33" s="1"/>
      <c r="K33" s="1"/>
    </row>
    <row r="34" spans="1:33" ht="15.75" customHeight="1">
      <c r="A34" s="1"/>
      <c r="B34" s="1"/>
      <c r="C34" s="1"/>
      <c r="D34" s="1"/>
      <c r="E34" s="1"/>
      <c r="G34" s="1"/>
      <c r="H34" s="1"/>
      <c r="I34" s="1"/>
      <c r="J34" s="1"/>
      <c r="K34" s="1"/>
    </row>
    <row r="35" spans="1:33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33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33" ht="15.75" customHeight="1">
      <c r="A37" s="1"/>
      <c r="B37" s="190">
        <v>46119</v>
      </c>
      <c r="C37" s="240"/>
      <c r="D37" s="190">
        <v>46121</v>
      </c>
      <c r="E37" s="241"/>
      <c r="F37" s="241"/>
      <c r="G37" s="240"/>
      <c r="H37" s="190">
        <v>46122</v>
      </c>
      <c r="I37" s="241"/>
      <c r="J37" s="241"/>
      <c r="K37" s="241"/>
      <c r="L37" s="241"/>
      <c r="M37" s="241"/>
      <c r="N37" s="241"/>
      <c r="O37" s="240"/>
      <c r="P37" s="191">
        <v>46129</v>
      </c>
      <c r="Q37" s="241"/>
      <c r="R37" s="241"/>
      <c r="S37" s="241"/>
      <c r="T37" s="241"/>
      <c r="U37" s="240"/>
      <c r="V37" s="190">
        <v>46136</v>
      </c>
      <c r="W37" s="241"/>
      <c r="X37" s="241"/>
      <c r="Y37" s="241"/>
      <c r="Z37" s="241"/>
      <c r="AA37" s="240"/>
      <c r="AB37" s="190">
        <v>46140</v>
      </c>
      <c r="AC37" s="241"/>
      <c r="AD37" s="241"/>
      <c r="AE37" s="241"/>
      <c r="AF37" s="241"/>
      <c r="AG37" s="240"/>
    </row>
    <row r="38" spans="1:33" ht="15.75" customHeight="1">
      <c r="A38" s="63" t="s">
        <v>44</v>
      </c>
      <c r="B38" s="195" t="s">
        <v>45</v>
      </c>
      <c r="C38" s="236"/>
      <c r="D38" s="196" t="s">
        <v>46</v>
      </c>
      <c r="E38" s="236"/>
      <c r="F38" s="197" t="s">
        <v>47</v>
      </c>
      <c r="G38" s="236"/>
      <c r="H38" s="198" t="s">
        <v>48</v>
      </c>
      <c r="I38" s="242"/>
      <c r="J38" s="242"/>
      <c r="K38" s="242"/>
      <c r="L38" s="242"/>
      <c r="M38" s="236"/>
      <c r="N38" s="193" t="s">
        <v>49</v>
      </c>
      <c r="O38" s="236"/>
      <c r="P38" s="193" t="s">
        <v>50</v>
      </c>
      <c r="Q38" s="236"/>
      <c r="R38" s="193" t="s">
        <v>51</v>
      </c>
      <c r="S38" s="236"/>
      <c r="T38" s="193" t="s">
        <v>52</v>
      </c>
      <c r="U38" s="236"/>
      <c r="V38" s="194" t="s">
        <v>53</v>
      </c>
      <c r="W38" s="236"/>
      <c r="X38" s="193" t="s">
        <v>54</v>
      </c>
      <c r="Y38" s="236"/>
      <c r="Z38" s="193" t="s">
        <v>55</v>
      </c>
      <c r="AA38" s="236"/>
      <c r="AB38" s="193" t="s">
        <v>56</v>
      </c>
      <c r="AC38" s="236"/>
      <c r="AD38" s="193" t="s">
        <v>57</v>
      </c>
      <c r="AE38" s="236"/>
      <c r="AF38" s="193" t="s">
        <v>58</v>
      </c>
      <c r="AG38" s="236"/>
    </row>
    <row r="39" spans="1:33" ht="15.75" customHeight="1">
      <c r="A39" s="64" t="s">
        <v>59</v>
      </c>
      <c r="B39" s="200">
        <v>0</v>
      </c>
      <c r="C39" s="235"/>
      <c r="D39" s="200">
        <v>0</v>
      </c>
      <c r="E39" s="235"/>
      <c r="F39" s="200">
        <v>0</v>
      </c>
      <c r="G39" s="235"/>
      <c r="H39" s="200">
        <f>(I40)</f>
        <v>0</v>
      </c>
      <c r="I39" s="235"/>
      <c r="J39" s="200">
        <f>K40</f>
        <v>0</v>
      </c>
      <c r="K39" s="235"/>
      <c r="L39" s="200">
        <f>M40</f>
        <v>0</v>
      </c>
      <c r="M39" s="235"/>
      <c r="N39" s="200">
        <f>O40</f>
        <v>1.9675925925925926E-4</v>
      </c>
      <c r="O39" s="235"/>
      <c r="P39" s="200">
        <f>Q40</f>
        <v>3.2407407407407406E-4</v>
      </c>
      <c r="Q39" s="234"/>
      <c r="R39" s="200">
        <f>S40</f>
        <v>0</v>
      </c>
      <c r="S39" s="235"/>
      <c r="T39" s="200">
        <f>U40</f>
        <v>3.4722222222222222E-5</v>
      </c>
      <c r="U39" s="235"/>
      <c r="V39" s="200">
        <f>W40</f>
        <v>0</v>
      </c>
      <c r="W39" s="234"/>
      <c r="X39" s="200">
        <f>Y40</f>
        <v>0</v>
      </c>
      <c r="Y39" s="235"/>
      <c r="Z39" s="200">
        <f>AA40</f>
        <v>0</v>
      </c>
      <c r="AA39" s="235"/>
      <c r="AB39" s="199">
        <f>AC40</f>
        <v>0</v>
      </c>
      <c r="AC39" s="232"/>
      <c r="AD39" s="199">
        <f>AE40</f>
        <v>0</v>
      </c>
      <c r="AE39" s="232"/>
      <c r="AF39" s="199">
        <f>AG40</f>
        <v>0</v>
      </c>
      <c r="AG39" s="232"/>
    </row>
    <row r="40" spans="1:33" ht="15.75" customHeight="1" outlineLevel="1">
      <c r="A40" s="65" t="s">
        <v>60</v>
      </c>
      <c r="B40" s="66" t="s">
        <v>18</v>
      </c>
      <c r="C40" s="67">
        <v>0</v>
      </c>
      <c r="D40" s="68">
        <v>0</v>
      </c>
      <c r="E40" s="69"/>
      <c r="F40" s="68">
        <v>0</v>
      </c>
      <c r="G40" s="69"/>
      <c r="H40" s="70" t="s">
        <v>18</v>
      </c>
      <c r="I40" s="19">
        <v>0</v>
      </c>
      <c r="J40" s="1" t="s">
        <v>18</v>
      </c>
      <c r="K40" s="71">
        <v>0</v>
      </c>
      <c r="L40" s="70" t="s">
        <v>18</v>
      </c>
      <c r="M40" s="71">
        <v>0</v>
      </c>
      <c r="N40" s="72" t="s">
        <v>61</v>
      </c>
      <c r="O40" s="73">
        <v>1.9675925925925926E-4</v>
      </c>
      <c r="P40" s="72" t="s">
        <v>62</v>
      </c>
      <c r="Q40" s="74">
        <v>3.2407407407407406E-4</v>
      </c>
      <c r="R40" s="66" t="s">
        <v>18</v>
      </c>
      <c r="S40" s="73">
        <v>0</v>
      </c>
      <c r="T40" s="66" t="s">
        <v>63</v>
      </c>
      <c r="U40" s="73">
        <v>3.4722222222222222E-5</v>
      </c>
      <c r="V40" s="75" t="s">
        <v>18</v>
      </c>
      <c r="W40" s="76">
        <v>0</v>
      </c>
      <c r="X40" s="75" t="s">
        <v>18</v>
      </c>
      <c r="Y40" s="76">
        <v>0</v>
      </c>
      <c r="Z40" s="75" t="s">
        <v>18</v>
      </c>
      <c r="AA40" s="77">
        <v>0</v>
      </c>
      <c r="AB40" s="78"/>
      <c r="AC40" s="76">
        <v>0</v>
      </c>
      <c r="AD40" s="79" t="s">
        <v>18</v>
      </c>
      <c r="AE40" s="76">
        <v>0</v>
      </c>
      <c r="AF40" s="79" t="s">
        <v>18</v>
      </c>
      <c r="AG40" s="77">
        <v>0</v>
      </c>
    </row>
    <row r="41" spans="1:33" ht="15.75" customHeight="1">
      <c r="A41" s="243"/>
      <c r="B41" s="234"/>
      <c r="C41" s="234"/>
      <c r="D41" s="234"/>
      <c r="E41" s="234"/>
      <c r="F41" s="234"/>
      <c r="G41" s="234"/>
      <c r="H41" s="234"/>
      <c r="I41" s="234"/>
      <c r="J41" s="234"/>
      <c r="K41" s="234"/>
      <c r="L41" s="234"/>
      <c r="M41" s="234"/>
      <c r="N41" s="234"/>
      <c r="O41" s="234"/>
    </row>
    <row r="42" spans="1:33" ht="15.75" customHeight="1">
      <c r="A42" s="80" t="s">
        <v>64</v>
      </c>
      <c r="B42" s="201">
        <f>SUM(B43:C49)</f>
        <v>9.3749999999999997E-4</v>
      </c>
      <c r="C42" s="235"/>
      <c r="D42" s="201">
        <f>SUM(D43,D46,D49)</f>
        <v>5.9027777777777778E-4</v>
      </c>
      <c r="E42" s="235"/>
      <c r="F42" s="201">
        <f>SUM(F43,F46,F49,G51)</f>
        <v>7.291666666666667E-4</v>
      </c>
      <c r="G42" s="235"/>
      <c r="H42" s="201">
        <f>SUM(H43,H46,H49)</f>
        <v>3.0092592592592595E-4</v>
      </c>
      <c r="I42" s="235"/>
      <c r="J42" s="201">
        <f>SUM(J43,J46,J49)</f>
        <v>5.5555555555555556E-4</v>
      </c>
      <c r="K42" s="235"/>
      <c r="L42" s="201">
        <f>SUM(L43,L46,L49)</f>
        <v>5.6712962962962967E-4</v>
      </c>
      <c r="M42" s="235"/>
      <c r="N42" s="201">
        <f>SUM(N43,N46,N49)</f>
        <v>8.6805555555555551E-4</v>
      </c>
      <c r="O42" s="235"/>
      <c r="P42" s="201">
        <f>SUM(P43,P46,P49)</f>
        <v>8.6805555555555562E-4</v>
      </c>
      <c r="Q42" s="235"/>
      <c r="R42" s="201">
        <f>SUM(R43,R46,R49)</f>
        <v>7.0601851851851847E-4</v>
      </c>
      <c r="S42" s="235"/>
      <c r="T42" s="201">
        <f>SUM(T43,T46,T49)</f>
        <v>7.0601851851851858E-4</v>
      </c>
      <c r="U42" s="235"/>
      <c r="V42" s="201">
        <f>SUM(V43,V46,V49)</f>
        <v>2.6620370370370372E-4</v>
      </c>
      <c r="W42" s="235"/>
      <c r="X42" s="201">
        <f>SUM(X43,X46,X49)</f>
        <v>0</v>
      </c>
      <c r="Y42" s="235"/>
      <c r="Z42" s="201">
        <f>SUM(Z43,Z46,Z49)</f>
        <v>0</v>
      </c>
      <c r="AA42" s="235"/>
      <c r="AB42" s="201">
        <f>SUM(AB43,AB46,AB49)</f>
        <v>0</v>
      </c>
      <c r="AC42" s="235"/>
      <c r="AD42" s="201">
        <f>SUM(AD43,AD46,AD49)</f>
        <v>0</v>
      </c>
      <c r="AE42" s="235"/>
      <c r="AF42" s="201">
        <f>SUM(AF43,AF46,AF49)</f>
        <v>0</v>
      </c>
      <c r="AG42" s="235"/>
    </row>
    <row r="43" spans="1:33" ht="15.75" customHeight="1" outlineLevel="1" collapsed="1">
      <c r="A43" s="81" t="s">
        <v>65</v>
      </c>
      <c r="B43" s="202">
        <f>SUM(C44:C45)</f>
        <v>1.3888888888888889E-4</v>
      </c>
      <c r="C43" s="235"/>
      <c r="D43" s="192">
        <f>SUM(E44:E45)</f>
        <v>1.7361111111111112E-4</v>
      </c>
      <c r="E43" s="235"/>
      <c r="F43" s="192">
        <f>SUM(G44:G45)</f>
        <v>2.6620370370370372E-4</v>
      </c>
      <c r="G43" s="235"/>
      <c r="H43" s="192">
        <f>SUM(I44,I45)</f>
        <v>1.3888888888888889E-4</v>
      </c>
      <c r="I43" s="235"/>
      <c r="J43" s="204">
        <f>SUM(K44:K45)</f>
        <v>1.6203703703703703E-4</v>
      </c>
      <c r="K43" s="235"/>
      <c r="L43" s="192">
        <f>SUM(M44:M45)</f>
        <v>3.1249999999999995E-4</v>
      </c>
      <c r="M43" s="235"/>
      <c r="N43" s="204">
        <f>SUM(O44,O45)</f>
        <v>1.7361111111111112E-4</v>
      </c>
      <c r="O43" s="235"/>
      <c r="P43" s="192">
        <f>SUM(Q44:Q45)</f>
        <v>3.1250000000000001E-4</v>
      </c>
      <c r="Q43" s="235"/>
      <c r="R43" s="192">
        <f>SUM(S44:S45)</f>
        <v>1.3888888888888889E-4</v>
      </c>
      <c r="S43" s="235"/>
      <c r="T43" s="192">
        <f>SUM(U44:U45)</f>
        <v>2.4305555555555555E-4</v>
      </c>
      <c r="U43" s="235"/>
      <c r="V43" s="192">
        <f>SUM(W44:W45)</f>
        <v>4.6296296296296294E-5</v>
      </c>
      <c r="W43" s="235"/>
      <c r="X43" s="192">
        <f>SUM(Y44:Y45)</f>
        <v>0</v>
      </c>
      <c r="Y43" s="235"/>
      <c r="Z43" s="192">
        <f>SUM(AA44:AA45)</f>
        <v>0</v>
      </c>
      <c r="AA43" s="235"/>
      <c r="AB43" s="192">
        <f>SUM(AC44:AC45)</f>
        <v>0</v>
      </c>
      <c r="AC43" s="235"/>
      <c r="AD43" s="192">
        <f>SUM(AE44:AE45)</f>
        <v>0</v>
      </c>
      <c r="AE43" s="235"/>
      <c r="AF43" s="192">
        <f>SUM(AG44:AG45)</f>
        <v>0</v>
      </c>
      <c r="AG43" s="235"/>
    </row>
    <row r="44" spans="1:33" ht="15.75" hidden="1" customHeight="1" outlineLevel="2">
      <c r="A44" s="1" t="s">
        <v>66</v>
      </c>
      <c r="B44" s="70" t="s">
        <v>67</v>
      </c>
      <c r="C44" s="19">
        <v>6.9444444444444444E-5</v>
      </c>
      <c r="D44" s="70" t="s">
        <v>68</v>
      </c>
      <c r="E44" s="19">
        <v>1.3888888888888889E-4</v>
      </c>
      <c r="F44" s="70" t="s">
        <v>69</v>
      </c>
      <c r="G44" s="19">
        <v>2.0833333333333335E-4</v>
      </c>
      <c r="H44" s="70" t="s">
        <v>70</v>
      </c>
      <c r="I44" s="19">
        <v>9.2592592592592588E-5</v>
      </c>
      <c r="J44" s="1" t="s">
        <v>71</v>
      </c>
      <c r="K44" s="71">
        <v>1.273148148148148E-4</v>
      </c>
      <c r="L44" s="70" t="s">
        <v>72</v>
      </c>
      <c r="M44" s="71">
        <v>5.7870370370370373E-5</v>
      </c>
      <c r="N44" s="70" t="s">
        <v>73</v>
      </c>
      <c r="O44" s="19">
        <v>1.3888888888888889E-4</v>
      </c>
      <c r="P44" s="72" t="s">
        <v>74</v>
      </c>
      <c r="Q44" s="82">
        <v>2.0833333333333335E-4</v>
      </c>
      <c r="R44" s="70" t="s">
        <v>75</v>
      </c>
      <c r="S44" s="19">
        <v>1.273148148148148E-4</v>
      </c>
      <c r="T44" s="70" t="s">
        <v>76</v>
      </c>
      <c r="U44" s="19">
        <v>2.4305555555555555E-4</v>
      </c>
      <c r="V44" s="72" t="s">
        <v>77</v>
      </c>
      <c r="W44" s="82">
        <v>2.3148148148148147E-5</v>
      </c>
      <c r="X44" s="70"/>
      <c r="Y44" s="83"/>
      <c r="Z44" s="70"/>
      <c r="AA44" s="83"/>
      <c r="AB44" s="84">
        <v>4.6296296296296294E-5</v>
      </c>
      <c r="AC44" s="83"/>
      <c r="AD44" s="78"/>
      <c r="AE44" s="83"/>
      <c r="AF44" s="78"/>
      <c r="AG44" s="83"/>
    </row>
    <row r="45" spans="1:33" ht="15.75" hidden="1" customHeight="1" outlineLevel="2">
      <c r="A45" s="1" t="s">
        <v>78</v>
      </c>
      <c r="B45" s="70" t="s">
        <v>79</v>
      </c>
      <c r="C45" s="19">
        <v>6.9444444444444444E-5</v>
      </c>
      <c r="D45" s="70" t="s">
        <v>80</v>
      </c>
      <c r="E45" s="19">
        <v>3.4722222222222222E-5</v>
      </c>
      <c r="F45" s="70" t="s">
        <v>81</v>
      </c>
      <c r="G45" s="19">
        <v>5.7870370370370373E-5</v>
      </c>
      <c r="H45" s="72" t="s">
        <v>82</v>
      </c>
      <c r="I45" s="82">
        <v>4.6296296296296294E-5</v>
      </c>
      <c r="J45" s="1" t="s">
        <v>83</v>
      </c>
      <c r="K45" s="71">
        <v>3.4722222222222222E-5</v>
      </c>
      <c r="L45" s="72" t="s">
        <v>84</v>
      </c>
      <c r="M45" s="71">
        <v>2.5462962962962961E-4</v>
      </c>
      <c r="N45" s="70" t="s">
        <v>85</v>
      </c>
      <c r="O45" s="19">
        <v>3.4722222222222222E-5</v>
      </c>
      <c r="P45" s="85" t="s">
        <v>86</v>
      </c>
      <c r="Q45" s="82">
        <v>1.0416666666666667E-4</v>
      </c>
      <c r="R45" s="70" t="s">
        <v>87</v>
      </c>
      <c r="S45" s="19">
        <v>1.1574074074074073E-5</v>
      </c>
      <c r="T45" s="72" t="s">
        <v>88</v>
      </c>
      <c r="U45" s="19">
        <v>0</v>
      </c>
      <c r="V45" s="72" t="s">
        <v>89</v>
      </c>
      <c r="W45" s="82">
        <v>2.3148148148148147E-5</v>
      </c>
      <c r="X45" s="70"/>
      <c r="Y45" s="83"/>
      <c r="Z45" s="70"/>
      <c r="AA45" s="83"/>
      <c r="AB45" s="78"/>
      <c r="AC45" s="83"/>
      <c r="AD45" s="78"/>
      <c r="AE45" s="83"/>
      <c r="AF45" s="78"/>
      <c r="AG45" s="83"/>
    </row>
    <row r="46" spans="1:33" ht="15.75" customHeight="1" outlineLevel="1" collapsed="1">
      <c r="A46" s="81" t="s">
        <v>90</v>
      </c>
      <c r="B46" s="202">
        <f>SUM(C47:C48)</f>
        <v>2.4305555555555555E-4</v>
      </c>
      <c r="C46" s="235"/>
      <c r="D46" s="192">
        <f>SUM(E47:E48)</f>
        <v>3.1249999999999995E-4</v>
      </c>
      <c r="E46" s="235"/>
      <c r="F46" s="192">
        <f>SUM(G47:G48)</f>
        <v>1.8518518518518518E-4</v>
      </c>
      <c r="G46" s="235"/>
      <c r="H46" s="203">
        <f>SUM(I47,I48)</f>
        <v>1.6203703703703703E-4</v>
      </c>
      <c r="I46" s="235"/>
      <c r="J46" s="192">
        <f>SUM(K47,K48)</f>
        <v>3.9351851851851852E-4</v>
      </c>
      <c r="K46" s="235"/>
      <c r="L46" s="192">
        <f>SUM(M47:M48)</f>
        <v>2.5462962962962966E-4</v>
      </c>
      <c r="M46" s="235"/>
      <c r="N46" s="192">
        <f>SUM(O47,O48)</f>
        <v>3.8194444444444441E-4</v>
      </c>
      <c r="O46" s="235"/>
      <c r="P46" s="203">
        <f>SUM(Q47:Q48)</f>
        <v>3.2407407407407406E-4</v>
      </c>
      <c r="Q46" s="235"/>
      <c r="R46" s="192">
        <f>SUM(S47:S48)</f>
        <v>3.1250000000000001E-4</v>
      </c>
      <c r="S46" s="235"/>
      <c r="T46" s="192">
        <f>SUM(U47:U48)</f>
        <v>1.851851851851852E-4</v>
      </c>
      <c r="U46" s="235"/>
      <c r="V46" s="203">
        <f>SUM(W47:W48)</f>
        <v>1.6203703703703703E-4</v>
      </c>
      <c r="W46" s="235"/>
      <c r="X46" s="192">
        <f>SUM(Y47:Y48)</f>
        <v>0</v>
      </c>
      <c r="Y46" s="235"/>
      <c r="Z46" s="192">
        <f>SUM(AA47:AA48)</f>
        <v>0</v>
      </c>
      <c r="AA46" s="235"/>
      <c r="AB46" s="203">
        <f>SUM(AC47:AC48)</f>
        <v>0</v>
      </c>
      <c r="AC46" s="235"/>
      <c r="AD46" s="192">
        <f>SUM(AE47:AE48)</f>
        <v>0</v>
      </c>
      <c r="AE46" s="235"/>
      <c r="AF46" s="192">
        <f>SUM(AG47:AG48)</f>
        <v>0</v>
      </c>
      <c r="AG46" s="235"/>
    </row>
    <row r="47" spans="1:33" ht="15.75" hidden="1" customHeight="1" outlineLevel="2">
      <c r="A47" s="1" t="s">
        <v>66</v>
      </c>
      <c r="B47" s="70" t="s">
        <v>91</v>
      </c>
      <c r="C47" s="19">
        <v>1.273148148148148E-4</v>
      </c>
      <c r="D47" s="70" t="s">
        <v>92</v>
      </c>
      <c r="E47" s="19">
        <v>1.273148148148148E-4</v>
      </c>
      <c r="F47" s="70" t="s">
        <v>93</v>
      </c>
      <c r="G47" s="19">
        <v>1.3888888888888889E-4</v>
      </c>
      <c r="H47" s="72" t="s">
        <v>94</v>
      </c>
      <c r="I47" s="82">
        <v>1.0416666666666667E-4</v>
      </c>
      <c r="J47" s="1" t="s">
        <v>95</v>
      </c>
      <c r="K47" s="71">
        <v>4.6296296296296294E-5</v>
      </c>
      <c r="L47" s="72" t="s">
        <v>96</v>
      </c>
      <c r="M47" s="71">
        <v>1.0416666666666667E-4</v>
      </c>
      <c r="N47" s="70" t="s">
        <v>97</v>
      </c>
      <c r="O47" s="19">
        <v>3.2407407407407406E-4</v>
      </c>
      <c r="P47" s="72" t="s">
        <v>98</v>
      </c>
      <c r="Q47" s="82">
        <v>1.273148148148148E-4</v>
      </c>
      <c r="R47" s="70" t="s">
        <v>99</v>
      </c>
      <c r="S47" s="19">
        <v>1.5046296296296297E-4</v>
      </c>
      <c r="T47" s="72" t="s">
        <v>100</v>
      </c>
      <c r="U47" s="19">
        <v>1.0416666666666667E-4</v>
      </c>
      <c r="V47" s="72" t="s">
        <v>101</v>
      </c>
      <c r="W47" s="82">
        <v>8.1018518518518516E-5</v>
      </c>
      <c r="X47" s="70"/>
      <c r="Y47" s="83"/>
      <c r="Z47" s="70"/>
      <c r="AA47" s="83"/>
      <c r="AB47" s="78"/>
      <c r="AC47" s="83"/>
      <c r="AD47" s="78"/>
      <c r="AE47" s="83"/>
      <c r="AF47" s="78"/>
      <c r="AG47" s="83"/>
    </row>
    <row r="48" spans="1:33" ht="15.75" hidden="1" customHeight="1" outlineLevel="2">
      <c r="A48" s="1" t="s">
        <v>78</v>
      </c>
      <c r="B48" s="70" t="s">
        <v>102</v>
      </c>
      <c r="C48" s="19">
        <v>1.1574074074074075E-4</v>
      </c>
      <c r="D48" s="70" t="s">
        <v>103</v>
      </c>
      <c r="E48" s="19">
        <v>1.8518518518518518E-4</v>
      </c>
      <c r="F48" s="70" t="s">
        <v>104</v>
      </c>
      <c r="G48" s="19">
        <v>4.6296296296296294E-5</v>
      </c>
      <c r="H48" s="72" t="s">
        <v>105</v>
      </c>
      <c r="I48" s="82">
        <v>5.7870370370370373E-5</v>
      </c>
      <c r="J48" s="1" t="s">
        <v>106</v>
      </c>
      <c r="K48" s="71">
        <v>3.4722222222222224E-4</v>
      </c>
      <c r="L48" s="72" t="s">
        <v>107</v>
      </c>
      <c r="M48" s="71">
        <v>1.5046296296296297E-4</v>
      </c>
      <c r="N48" s="70" t="s">
        <v>108</v>
      </c>
      <c r="O48" s="19">
        <v>5.7870370370370373E-5</v>
      </c>
      <c r="P48" s="72" t="s">
        <v>109</v>
      </c>
      <c r="Q48" s="82">
        <v>1.9675925925925926E-4</v>
      </c>
      <c r="R48" s="72" t="s">
        <v>110</v>
      </c>
      <c r="S48" s="19">
        <v>1.6203703703703703E-4</v>
      </c>
      <c r="T48" s="72" t="s">
        <v>111</v>
      </c>
      <c r="U48" s="19">
        <v>8.1018518518518516E-5</v>
      </c>
      <c r="V48" s="72" t="s">
        <v>112</v>
      </c>
      <c r="W48" s="82">
        <v>8.1018518518518516E-5</v>
      </c>
      <c r="X48" s="70"/>
      <c r="Y48" s="83"/>
      <c r="Z48" s="70"/>
      <c r="AA48" s="83"/>
      <c r="AB48" s="78"/>
      <c r="AC48" s="83"/>
      <c r="AD48" s="78"/>
      <c r="AE48" s="83"/>
      <c r="AF48" s="78"/>
      <c r="AG48" s="83"/>
    </row>
    <row r="49" spans="1:33" ht="15.75" customHeight="1" outlineLevel="1" collapsed="1">
      <c r="A49" s="81" t="s">
        <v>113</v>
      </c>
      <c r="B49" s="202">
        <f>SUM(C50:C51)</f>
        <v>1.7361111111111112E-4</v>
      </c>
      <c r="C49" s="235"/>
      <c r="D49" s="192">
        <f>E51</f>
        <v>1.0416666666666667E-4</v>
      </c>
      <c r="E49" s="235"/>
      <c r="F49" s="192">
        <f>G51</f>
        <v>1.3888888888888889E-4</v>
      </c>
      <c r="G49" s="235"/>
      <c r="H49" s="203">
        <f>SUM(I50,I51)</f>
        <v>0</v>
      </c>
      <c r="I49" s="235"/>
      <c r="J49" s="192">
        <v>0</v>
      </c>
      <c r="K49" s="235"/>
      <c r="L49" s="192">
        <f>SUM(M50:M51)</f>
        <v>0</v>
      </c>
      <c r="M49" s="235"/>
      <c r="N49" s="192">
        <f>SUM(O50,O51)</f>
        <v>3.1250000000000001E-4</v>
      </c>
      <c r="O49" s="235"/>
      <c r="P49" s="203">
        <f>SUM(Q50:Q51)</f>
        <v>2.3148148148148149E-4</v>
      </c>
      <c r="Q49" s="235"/>
      <c r="R49" s="192">
        <f>SUM(S50:S51)</f>
        <v>2.5462962962962961E-4</v>
      </c>
      <c r="S49" s="235"/>
      <c r="T49" s="192">
        <f>SUM(U50:U51)</f>
        <v>2.7777777777777778E-4</v>
      </c>
      <c r="U49" s="235"/>
      <c r="V49" s="203">
        <f>SUM(W50:W51)</f>
        <v>5.7870370370370373E-5</v>
      </c>
      <c r="W49" s="235"/>
      <c r="X49" s="192">
        <f>SUM(Y50:Y51)</f>
        <v>0</v>
      </c>
      <c r="Y49" s="235"/>
      <c r="Z49" s="192">
        <f>SUM(AA50:AA51)</f>
        <v>0</v>
      </c>
      <c r="AA49" s="235"/>
      <c r="AB49" s="203">
        <f>SUM(AC50:AC51)</f>
        <v>0</v>
      </c>
      <c r="AC49" s="235"/>
      <c r="AD49" s="192">
        <f>SUM(AE50:AE51)</f>
        <v>0</v>
      </c>
      <c r="AE49" s="235"/>
      <c r="AF49" s="192">
        <f>SUM(AG50:AG51)</f>
        <v>0</v>
      </c>
      <c r="AG49" s="235"/>
    </row>
    <row r="50" spans="1:33" ht="15.75" hidden="1" customHeight="1" outlineLevel="2">
      <c r="A50" s="1" t="s">
        <v>114</v>
      </c>
      <c r="B50" s="70" t="s">
        <v>115</v>
      </c>
      <c r="C50" s="19">
        <v>6.9444444444444444E-5</v>
      </c>
      <c r="D50" s="208" t="s">
        <v>116</v>
      </c>
      <c r="E50" s="235"/>
      <c r="F50" s="244" t="s">
        <v>116</v>
      </c>
      <c r="G50" s="235"/>
      <c r="H50" s="72" t="s">
        <v>18</v>
      </c>
      <c r="I50" s="82">
        <v>0</v>
      </c>
      <c r="J50" s="86" t="s">
        <v>18</v>
      </c>
      <c r="K50" s="87">
        <v>0</v>
      </c>
      <c r="L50" s="72" t="s">
        <v>18</v>
      </c>
      <c r="M50" s="87">
        <v>0</v>
      </c>
      <c r="N50" s="70" t="s">
        <v>117</v>
      </c>
      <c r="O50" s="19">
        <v>2.4305555555555555E-4</v>
      </c>
      <c r="P50" s="72" t="s">
        <v>118</v>
      </c>
      <c r="Q50" s="82">
        <v>0</v>
      </c>
      <c r="R50" s="70" t="s">
        <v>119</v>
      </c>
      <c r="S50" s="19">
        <v>6.9444444444444444E-5</v>
      </c>
      <c r="T50" s="72" t="s">
        <v>118</v>
      </c>
      <c r="U50" s="19">
        <v>0</v>
      </c>
      <c r="V50" s="72" t="s">
        <v>120</v>
      </c>
      <c r="W50" s="82">
        <v>2.3148148148148147E-5</v>
      </c>
      <c r="X50" s="70"/>
      <c r="Y50" s="83"/>
      <c r="Z50" s="70"/>
      <c r="AA50" s="83"/>
      <c r="AB50" s="78"/>
      <c r="AC50" s="83"/>
      <c r="AD50" s="78"/>
      <c r="AE50" s="83"/>
      <c r="AF50" s="78"/>
      <c r="AG50" s="83"/>
    </row>
    <row r="51" spans="1:33" ht="15.75" hidden="1" customHeight="1" outlineLevel="2">
      <c r="A51" s="1" t="s">
        <v>121</v>
      </c>
      <c r="B51" s="70" t="s">
        <v>122</v>
      </c>
      <c r="C51" s="19">
        <v>1.0416666666666667E-4</v>
      </c>
      <c r="D51" s="70" t="s">
        <v>123</v>
      </c>
      <c r="E51" s="19">
        <v>1.0416666666666667E-4</v>
      </c>
      <c r="F51" s="70" t="s">
        <v>124</v>
      </c>
      <c r="G51" s="73">
        <v>1.3888888888888889E-4</v>
      </c>
      <c r="H51" s="72" t="s">
        <v>18</v>
      </c>
      <c r="I51" s="82">
        <v>0</v>
      </c>
      <c r="J51" s="88" t="s">
        <v>18</v>
      </c>
      <c r="K51" s="71">
        <v>0</v>
      </c>
      <c r="L51" s="70" t="s">
        <v>18</v>
      </c>
      <c r="M51" s="71">
        <v>0</v>
      </c>
      <c r="N51" s="70" t="s">
        <v>125</v>
      </c>
      <c r="O51" s="19">
        <v>6.9444444444444444E-5</v>
      </c>
      <c r="P51" s="72" t="s">
        <v>126</v>
      </c>
      <c r="Q51" s="82">
        <v>2.3148148148148149E-4</v>
      </c>
      <c r="R51" s="70" t="s">
        <v>127</v>
      </c>
      <c r="S51" s="19">
        <v>1.8518518518518518E-4</v>
      </c>
      <c r="T51" s="70" t="s">
        <v>128</v>
      </c>
      <c r="U51" s="19">
        <v>2.7777777777777778E-4</v>
      </c>
      <c r="V51" s="72" t="s">
        <v>129</v>
      </c>
      <c r="W51" s="82">
        <v>3.4722222222222222E-5</v>
      </c>
      <c r="X51" s="70"/>
      <c r="Y51" s="83"/>
      <c r="Z51" s="70"/>
      <c r="AA51" s="83"/>
      <c r="AB51" s="78"/>
      <c r="AC51" s="83"/>
      <c r="AD51" s="78"/>
      <c r="AE51" s="83"/>
      <c r="AF51" s="78"/>
      <c r="AG51" s="83"/>
    </row>
    <row r="52" spans="1:33" ht="15.75" customHeight="1">
      <c r="A52" s="243"/>
      <c r="B52" s="234"/>
      <c r="C52" s="234"/>
      <c r="D52" s="234"/>
      <c r="E52" s="234"/>
      <c r="F52" s="234"/>
      <c r="G52" s="234"/>
      <c r="H52" s="234"/>
      <c r="I52" s="234"/>
      <c r="J52" s="234"/>
      <c r="K52" s="234"/>
      <c r="L52" s="234"/>
      <c r="M52" s="234"/>
      <c r="N52" s="234"/>
      <c r="O52" s="234"/>
    </row>
    <row r="53" spans="1:33" ht="15.75" customHeight="1" collapsed="1">
      <c r="A53" s="89" t="s">
        <v>130</v>
      </c>
      <c r="B53" s="205">
        <f>SUM(B54:C59)</f>
        <v>2.0601851851851853E-3</v>
      </c>
      <c r="C53" s="235"/>
      <c r="D53" s="205">
        <f>SUM(D54:E59)</f>
        <v>7.7546296296296304E-4</v>
      </c>
      <c r="E53" s="235"/>
      <c r="F53" s="205">
        <f>SUM(F54,F59)</f>
        <v>4.1666666666666669E-4</v>
      </c>
      <c r="G53" s="235"/>
      <c r="H53" s="205">
        <f>SUM(H54,H59)</f>
        <v>3.7037037037037035E-4</v>
      </c>
      <c r="I53" s="235"/>
      <c r="J53" s="205">
        <f>SUM(J54,J59)</f>
        <v>2.5462962962962961E-4</v>
      </c>
      <c r="K53" s="235"/>
      <c r="L53" s="205">
        <f>SUM(L54,L59)</f>
        <v>2.199074074074074E-4</v>
      </c>
      <c r="M53" s="235"/>
      <c r="N53" s="205">
        <f>SUM(N54,N59)</f>
        <v>6.018518518518519E-4</v>
      </c>
      <c r="O53" s="235"/>
      <c r="P53" s="205">
        <f>SUM(P54,P59)</f>
        <v>5.0925925925925921E-4</v>
      </c>
      <c r="Q53" s="235"/>
      <c r="R53" s="205">
        <f>SUM(R54,R59)</f>
        <v>4.2824074074074075E-4</v>
      </c>
      <c r="S53" s="235"/>
      <c r="T53" s="205">
        <f>SUM(T54,T59)</f>
        <v>4.7453703703703709E-4</v>
      </c>
      <c r="U53" s="235"/>
      <c r="V53" s="205">
        <f>SUM(V54,V59)</f>
        <v>8.1018518518518516E-5</v>
      </c>
      <c r="W53" s="235"/>
      <c r="X53" s="205">
        <f>SUM(X54,X59)</f>
        <v>0</v>
      </c>
      <c r="Y53" s="235"/>
      <c r="Z53" s="205">
        <f>SUM(Z54,Z59)</f>
        <v>0</v>
      </c>
      <c r="AA53" s="235"/>
      <c r="AB53" s="205">
        <f>SUM(AB54,AB59)</f>
        <v>0</v>
      </c>
      <c r="AC53" s="235"/>
      <c r="AD53" s="205">
        <f>SUM(AD54,AD59)</f>
        <v>0</v>
      </c>
      <c r="AE53" s="235"/>
      <c r="AF53" s="205">
        <f>SUM(AF54,AF59)</f>
        <v>0</v>
      </c>
      <c r="AG53" s="235"/>
    </row>
    <row r="54" spans="1:33" ht="15.75" hidden="1" customHeight="1" outlineLevel="1" collapsed="1">
      <c r="A54" s="81" t="s">
        <v>131</v>
      </c>
      <c r="B54" s="202">
        <f>SUM(C55:C56)</f>
        <v>9.3749999999999997E-4</v>
      </c>
      <c r="C54" s="235"/>
      <c r="D54" s="192">
        <f>SUM(E55:E56)</f>
        <v>2.7777777777777778E-4</v>
      </c>
      <c r="E54" s="235"/>
      <c r="F54" s="192">
        <f>SUM(G55:G56)</f>
        <v>2.6620370370370372E-4</v>
      </c>
      <c r="G54" s="235"/>
      <c r="H54" s="192">
        <f>SUM(I55:I56)</f>
        <v>3.7037037037037035E-4</v>
      </c>
      <c r="I54" s="235"/>
      <c r="J54" s="192">
        <f>SUM(K55:K56)</f>
        <v>2.5462962962962961E-4</v>
      </c>
      <c r="K54" s="235"/>
      <c r="L54" s="192">
        <f>SUM(M55:M56)</f>
        <v>2.199074074074074E-4</v>
      </c>
      <c r="M54" s="235"/>
      <c r="N54" s="192">
        <f>SUM(O55,O56)</f>
        <v>4.861111111111111E-4</v>
      </c>
      <c r="O54" s="235"/>
      <c r="P54" s="203">
        <f>SUM(Q55:Q56)</f>
        <v>2.8935185185185184E-4</v>
      </c>
      <c r="Q54" s="235"/>
      <c r="R54" s="192">
        <f>SUM(S55:S56)</f>
        <v>2.8935185185185184E-4</v>
      </c>
      <c r="S54" s="235"/>
      <c r="T54" s="192">
        <f>SUM(U55:U56)</f>
        <v>2.0833333333333335E-4</v>
      </c>
      <c r="U54" s="235"/>
      <c r="V54" s="203">
        <f>SUM(W55:W56)</f>
        <v>0</v>
      </c>
      <c r="W54" s="235"/>
      <c r="X54" s="192">
        <f>SUM(Y55:Y56)</f>
        <v>0</v>
      </c>
      <c r="Y54" s="235"/>
      <c r="Z54" s="192">
        <f>SUM(AA55:AA56)</f>
        <v>0</v>
      </c>
      <c r="AA54" s="235"/>
      <c r="AB54" s="203">
        <f>SUM(AC55:AC56)</f>
        <v>0</v>
      </c>
      <c r="AC54" s="235"/>
      <c r="AD54" s="192">
        <f>SUM(AE55:AE56)</f>
        <v>0</v>
      </c>
      <c r="AE54" s="235"/>
      <c r="AF54" s="192">
        <f>SUM(AG55:AG56)</f>
        <v>0</v>
      </c>
      <c r="AG54" s="235"/>
    </row>
    <row r="55" spans="1:33" ht="15.75" hidden="1" customHeight="1" outlineLevel="2">
      <c r="A55" s="1" t="s">
        <v>132</v>
      </c>
      <c r="B55" s="70" t="s">
        <v>133</v>
      </c>
      <c r="C55" s="19">
        <v>5.6712962962962967E-4</v>
      </c>
      <c r="D55" s="70" t="s">
        <v>134</v>
      </c>
      <c r="E55" s="19">
        <v>1.5046296296296297E-4</v>
      </c>
      <c r="F55" s="70" t="s">
        <v>135</v>
      </c>
      <c r="G55" s="19">
        <v>1.273148148148148E-4</v>
      </c>
      <c r="H55" s="70" t="s">
        <v>136</v>
      </c>
      <c r="I55" s="19">
        <v>3.7037037037037035E-4</v>
      </c>
      <c r="J55" s="1" t="s">
        <v>137</v>
      </c>
      <c r="K55" s="71">
        <v>2.5462962962962961E-4</v>
      </c>
      <c r="L55" s="70" t="s">
        <v>138</v>
      </c>
      <c r="M55" s="71">
        <v>2.199074074074074E-4</v>
      </c>
      <c r="N55" s="70" t="s">
        <v>139</v>
      </c>
      <c r="O55" s="19">
        <v>1.5046296296296297E-4</v>
      </c>
      <c r="P55" s="72" t="s">
        <v>140</v>
      </c>
      <c r="Q55" s="82">
        <v>1.5046296296296297E-4</v>
      </c>
      <c r="R55" s="70" t="s">
        <v>141</v>
      </c>
      <c r="S55" s="19">
        <v>1.5046296296296297E-4</v>
      </c>
      <c r="T55" s="70" t="s">
        <v>142</v>
      </c>
      <c r="U55" s="19">
        <v>1.0416666666666667E-4</v>
      </c>
      <c r="V55" s="70"/>
      <c r="W55" s="83"/>
      <c r="X55" s="70"/>
      <c r="Y55" s="83"/>
      <c r="Z55" s="70"/>
      <c r="AA55" s="83"/>
      <c r="AB55" s="78"/>
      <c r="AC55" s="83"/>
      <c r="AD55" s="78"/>
      <c r="AE55" s="83"/>
      <c r="AF55" s="78"/>
      <c r="AG55" s="83"/>
    </row>
    <row r="56" spans="1:33" ht="15.75" hidden="1" customHeight="1" outlineLevel="2">
      <c r="A56" s="1" t="s">
        <v>143</v>
      </c>
      <c r="B56" s="70" t="s">
        <v>144</v>
      </c>
      <c r="C56" s="19">
        <v>3.7037037037037035E-4</v>
      </c>
      <c r="D56" s="70" t="s">
        <v>145</v>
      </c>
      <c r="E56" s="19">
        <v>1.273148148148148E-4</v>
      </c>
      <c r="F56" s="70" t="s">
        <v>146</v>
      </c>
      <c r="G56" s="19">
        <v>1.3888888888888889E-4</v>
      </c>
      <c r="H56" s="70" t="s">
        <v>18</v>
      </c>
      <c r="I56" s="19">
        <v>0</v>
      </c>
      <c r="J56" s="88" t="s">
        <v>18</v>
      </c>
      <c r="K56" s="71">
        <v>0</v>
      </c>
      <c r="L56" s="70" t="s">
        <v>18</v>
      </c>
      <c r="M56" s="71">
        <v>0</v>
      </c>
      <c r="N56" s="70" t="s">
        <v>147</v>
      </c>
      <c r="O56" s="19">
        <v>3.3564814814814812E-4</v>
      </c>
      <c r="P56" s="72" t="s">
        <v>148</v>
      </c>
      <c r="Q56" s="82">
        <v>1.3888888888888889E-4</v>
      </c>
      <c r="R56" s="70" t="s">
        <v>149</v>
      </c>
      <c r="S56" s="19">
        <v>1.3888888888888889E-4</v>
      </c>
      <c r="T56" s="70" t="s">
        <v>150</v>
      </c>
      <c r="U56" s="19">
        <v>1.0416666666666667E-4</v>
      </c>
      <c r="V56" s="70"/>
      <c r="W56" s="83"/>
      <c r="X56" s="70"/>
      <c r="Y56" s="83"/>
      <c r="Z56" s="70"/>
      <c r="AA56" s="83"/>
      <c r="AB56" s="78"/>
      <c r="AC56" s="83"/>
      <c r="AD56" s="78"/>
      <c r="AE56" s="83"/>
      <c r="AF56" s="78"/>
      <c r="AG56" s="83"/>
    </row>
    <row r="57" spans="1:33" ht="15.75" hidden="1" customHeight="1" outlineLevel="2">
      <c r="A57" s="1" t="s">
        <v>151</v>
      </c>
      <c r="B57" s="70" t="s">
        <v>132</v>
      </c>
      <c r="C57" s="83"/>
      <c r="D57" s="70" t="s">
        <v>152</v>
      </c>
      <c r="E57" s="69" t="s">
        <v>18</v>
      </c>
      <c r="F57" s="70" t="s">
        <v>152</v>
      </c>
      <c r="G57" s="69" t="s">
        <v>18</v>
      </c>
      <c r="H57" s="70" t="s">
        <v>152</v>
      </c>
      <c r="I57" s="69" t="s">
        <v>18</v>
      </c>
      <c r="J57" s="88"/>
      <c r="K57" s="88" t="s">
        <v>18</v>
      </c>
      <c r="L57" s="78"/>
      <c r="M57" s="1" t="s">
        <v>18</v>
      </c>
      <c r="N57" s="70" t="s">
        <v>18</v>
      </c>
      <c r="O57" s="19">
        <v>0</v>
      </c>
      <c r="P57" s="208" t="s">
        <v>18</v>
      </c>
      <c r="Q57" s="206">
        <v>0</v>
      </c>
      <c r="R57" s="245" t="s">
        <v>18</v>
      </c>
      <c r="S57" s="207">
        <v>0</v>
      </c>
      <c r="T57" s="245" t="s">
        <v>18</v>
      </c>
      <c r="U57" s="207">
        <v>0</v>
      </c>
      <c r="V57" s="208" t="s">
        <v>18</v>
      </c>
      <c r="W57" s="206">
        <v>0</v>
      </c>
      <c r="X57" s="245" t="s">
        <v>18</v>
      </c>
      <c r="Y57" s="207">
        <v>0</v>
      </c>
      <c r="Z57" s="245" t="s">
        <v>18</v>
      </c>
      <c r="AA57" s="207">
        <v>0</v>
      </c>
      <c r="AB57" s="213" t="s">
        <v>18</v>
      </c>
      <c r="AC57" s="206">
        <v>0</v>
      </c>
      <c r="AD57" s="245" t="s">
        <v>18</v>
      </c>
      <c r="AE57" s="207">
        <v>0</v>
      </c>
      <c r="AF57" s="245" t="s">
        <v>18</v>
      </c>
      <c r="AG57" s="207">
        <v>0</v>
      </c>
    </row>
    <row r="58" spans="1:33" ht="15.75" hidden="1" customHeight="1" outlineLevel="2">
      <c r="A58" s="1" t="s">
        <v>153</v>
      </c>
      <c r="B58" s="70" t="s">
        <v>154</v>
      </c>
      <c r="C58" s="83"/>
      <c r="D58" s="70" t="s">
        <v>155</v>
      </c>
      <c r="E58" s="69" t="s">
        <v>18</v>
      </c>
      <c r="F58" s="70" t="s">
        <v>155</v>
      </c>
      <c r="G58" s="69" t="s">
        <v>18</v>
      </c>
      <c r="H58" s="244" t="s">
        <v>18</v>
      </c>
      <c r="I58" s="235"/>
      <c r="J58" s="246" t="s">
        <v>18</v>
      </c>
      <c r="K58" s="234"/>
      <c r="L58" s="244" t="s">
        <v>18</v>
      </c>
      <c r="M58" s="234"/>
      <c r="N58" s="70" t="s">
        <v>156</v>
      </c>
      <c r="O58" s="19">
        <v>0</v>
      </c>
      <c r="P58" s="247"/>
      <c r="Q58" s="235"/>
      <c r="R58" s="247"/>
      <c r="S58" s="235"/>
      <c r="T58" s="247"/>
      <c r="U58" s="235"/>
      <c r="V58" s="247"/>
      <c r="W58" s="235"/>
      <c r="X58" s="247"/>
      <c r="Y58" s="235"/>
      <c r="Z58" s="247"/>
      <c r="AA58" s="235"/>
      <c r="AB58" s="247"/>
      <c r="AC58" s="235"/>
      <c r="AD58" s="247"/>
      <c r="AE58" s="235"/>
      <c r="AF58" s="247"/>
      <c r="AG58" s="235"/>
    </row>
    <row r="59" spans="1:33" ht="15.75" hidden="1" customHeight="1" outlineLevel="1" collapsed="1">
      <c r="A59" s="81" t="s">
        <v>157</v>
      </c>
      <c r="B59" s="202">
        <f>SUM(C60:C61)</f>
        <v>1.851851851851852E-4</v>
      </c>
      <c r="C59" s="235"/>
      <c r="D59" s="192">
        <f>SUM(E60:E61)</f>
        <v>2.1990740740740743E-4</v>
      </c>
      <c r="E59" s="235"/>
      <c r="F59" s="192">
        <f>SUM(G60:G61)</f>
        <v>1.5046296296296297E-4</v>
      </c>
      <c r="G59" s="235"/>
      <c r="H59" s="192">
        <f>SUM(I60:I61)</f>
        <v>0</v>
      </c>
      <c r="I59" s="235"/>
      <c r="J59" s="192">
        <v>0</v>
      </c>
      <c r="K59" s="235"/>
      <c r="L59" s="192">
        <f>SUM(M60:M61)</f>
        <v>0</v>
      </c>
      <c r="M59" s="235"/>
      <c r="N59" s="192">
        <f>SUM(O60,O61)</f>
        <v>1.1574074074074075E-4</v>
      </c>
      <c r="O59" s="235"/>
      <c r="P59" s="203">
        <f>SUM(Q60:Q61)</f>
        <v>2.199074074074074E-4</v>
      </c>
      <c r="Q59" s="235"/>
      <c r="R59" s="192">
        <f>SUM(S60:S61)</f>
        <v>1.3888888888888889E-4</v>
      </c>
      <c r="S59" s="235"/>
      <c r="T59" s="192">
        <f>SUM(U60:U61)</f>
        <v>2.6620370370370372E-4</v>
      </c>
      <c r="U59" s="235"/>
      <c r="V59" s="203">
        <f>SUM(W60:W61)</f>
        <v>8.1018518518518516E-5</v>
      </c>
      <c r="W59" s="235"/>
      <c r="X59" s="192">
        <f>SUM(Y60:Y61)</f>
        <v>0</v>
      </c>
      <c r="Y59" s="235"/>
      <c r="Z59" s="192">
        <f>SUM(AA60:AA61)</f>
        <v>0</v>
      </c>
      <c r="AA59" s="235"/>
      <c r="AB59" s="203">
        <f>SUM(AC60:AC61)</f>
        <v>0</v>
      </c>
      <c r="AC59" s="235"/>
      <c r="AD59" s="192">
        <f>SUM(AE60:AE61)</f>
        <v>0</v>
      </c>
      <c r="AE59" s="235"/>
      <c r="AF59" s="192">
        <f>SUM(AG60:AG61)</f>
        <v>0</v>
      </c>
      <c r="AG59" s="235"/>
    </row>
    <row r="60" spans="1:33" ht="15.75" hidden="1" customHeight="1" outlineLevel="2">
      <c r="A60" s="1" t="s">
        <v>132</v>
      </c>
      <c r="B60" s="70" t="s">
        <v>158</v>
      </c>
      <c r="C60" s="19">
        <v>8.1018518518518516E-5</v>
      </c>
      <c r="D60" s="70" t="s">
        <v>159</v>
      </c>
      <c r="E60" s="19">
        <v>1.0416666666666667E-4</v>
      </c>
      <c r="F60" s="70" t="s">
        <v>160</v>
      </c>
      <c r="G60" s="19">
        <v>5.7870370370370373E-5</v>
      </c>
      <c r="H60" s="70" t="s">
        <v>18</v>
      </c>
      <c r="I60" s="19">
        <v>0</v>
      </c>
      <c r="J60" s="88" t="s">
        <v>18</v>
      </c>
      <c r="K60" s="71">
        <v>0</v>
      </c>
      <c r="L60" s="70" t="s">
        <v>18</v>
      </c>
      <c r="M60" s="71">
        <v>0</v>
      </c>
      <c r="N60" s="70" t="s">
        <v>161</v>
      </c>
      <c r="O60" s="19">
        <v>6.9444444444444444E-5</v>
      </c>
      <c r="P60" s="72" t="s">
        <v>162</v>
      </c>
      <c r="Q60" s="82">
        <v>8.1018518518518516E-5</v>
      </c>
      <c r="R60" s="70" t="s">
        <v>163</v>
      </c>
      <c r="S60" s="19">
        <v>5.7870370370370373E-5</v>
      </c>
      <c r="T60" s="70" t="s">
        <v>164</v>
      </c>
      <c r="U60" s="19">
        <v>8.1018518518518516E-5</v>
      </c>
      <c r="V60" s="72" t="s">
        <v>165</v>
      </c>
      <c r="W60" s="82">
        <v>3.4722222222222222E-5</v>
      </c>
      <c r="X60" s="70"/>
      <c r="Y60" s="83"/>
      <c r="Z60" s="70"/>
      <c r="AA60" s="83"/>
      <c r="AB60" s="78"/>
      <c r="AC60" s="83"/>
      <c r="AD60" s="78"/>
      <c r="AE60" s="83"/>
      <c r="AF60" s="78"/>
      <c r="AG60" s="83"/>
    </row>
    <row r="61" spans="1:33" ht="15.75" hidden="1" customHeight="1" outlineLevel="2">
      <c r="A61" s="1" t="s">
        <v>143</v>
      </c>
      <c r="B61" s="70" t="s">
        <v>166</v>
      </c>
      <c r="C61" s="19">
        <v>1.0416666666666667E-4</v>
      </c>
      <c r="D61" s="70" t="s">
        <v>167</v>
      </c>
      <c r="E61" s="19">
        <v>1.1574074074074075E-4</v>
      </c>
      <c r="F61" s="70" t="s">
        <v>168</v>
      </c>
      <c r="G61" s="19">
        <v>9.2592592592592588E-5</v>
      </c>
      <c r="H61" s="70" t="s">
        <v>18</v>
      </c>
      <c r="I61" s="19">
        <v>0</v>
      </c>
      <c r="J61" s="88" t="s">
        <v>18</v>
      </c>
      <c r="K61" s="71">
        <v>0</v>
      </c>
      <c r="L61" s="70" t="s">
        <v>18</v>
      </c>
      <c r="M61" s="71">
        <v>0</v>
      </c>
      <c r="N61" s="70" t="s">
        <v>169</v>
      </c>
      <c r="O61" s="19">
        <v>4.6296296296296294E-5</v>
      </c>
      <c r="P61" s="72" t="s">
        <v>170</v>
      </c>
      <c r="Q61" s="82">
        <v>1.3888888888888889E-4</v>
      </c>
      <c r="R61" s="70" t="s">
        <v>171</v>
      </c>
      <c r="S61" s="19">
        <v>8.1018518518518516E-5</v>
      </c>
      <c r="T61" s="70" t="s">
        <v>172</v>
      </c>
      <c r="U61" s="19">
        <v>1.8518518518518518E-4</v>
      </c>
      <c r="V61" s="72" t="s">
        <v>173</v>
      </c>
      <c r="W61" s="82">
        <v>4.6296296296296294E-5</v>
      </c>
      <c r="X61" s="70"/>
      <c r="Y61" s="83"/>
      <c r="Z61" s="70"/>
      <c r="AA61" s="83"/>
      <c r="AB61" s="78"/>
      <c r="AC61" s="83"/>
      <c r="AD61" s="78"/>
      <c r="AE61" s="83"/>
      <c r="AF61" s="78"/>
      <c r="AG61" s="83"/>
    </row>
    <row r="62" spans="1:33" ht="15.75" hidden="1" customHeight="1" outlineLevel="2">
      <c r="A62" s="1" t="s">
        <v>151</v>
      </c>
      <c r="B62" s="70" t="s">
        <v>132</v>
      </c>
      <c r="C62" s="83"/>
      <c r="D62" s="70" t="s">
        <v>152</v>
      </c>
      <c r="E62" s="69" t="s">
        <v>18</v>
      </c>
      <c r="F62" s="70" t="s">
        <v>152</v>
      </c>
      <c r="G62" s="69" t="s">
        <v>18</v>
      </c>
      <c r="H62" s="244" t="s">
        <v>18</v>
      </c>
      <c r="I62" s="235"/>
      <c r="J62" s="246" t="s">
        <v>18</v>
      </c>
      <c r="K62" s="234"/>
      <c r="L62" s="244" t="s">
        <v>18</v>
      </c>
      <c r="M62" s="234"/>
      <c r="N62" s="70" t="s">
        <v>18</v>
      </c>
      <c r="O62" s="19">
        <v>0</v>
      </c>
      <c r="P62" s="208" t="s">
        <v>18</v>
      </c>
      <c r="Q62" s="206">
        <v>0</v>
      </c>
      <c r="R62" s="245" t="s">
        <v>18</v>
      </c>
      <c r="S62" s="207">
        <v>0</v>
      </c>
      <c r="T62" s="245" t="s">
        <v>18</v>
      </c>
      <c r="U62" s="207">
        <v>0</v>
      </c>
      <c r="V62" s="208" t="s">
        <v>18</v>
      </c>
      <c r="W62" s="206">
        <v>0</v>
      </c>
      <c r="X62" s="245" t="s">
        <v>18</v>
      </c>
      <c r="Y62" s="207">
        <v>0</v>
      </c>
      <c r="Z62" s="245" t="s">
        <v>18</v>
      </c>
      <c r="AA62" s="207">
        <v>0</v>
      </c>
      <c r="AB62" s="213" t="s">
        <v>18</v>
      </c>
      <c r="AC62" s="206">
        <v>0</v>
      </c>
      <c r="AD62" s="245" t="s">
        <v>18</v>
      </c>
      <c r="AE62" s="207">
        <v>0</v>
      </c>
      <c r="AF62" s="245" t="s">
        <v>18</v>
      </c>
      <c r="AG62" s="207">
        <v>0</v>
      </c>
    </row>
    <row r="63" spans="1:33" ht="15.75" hidden="1" customHeight="1" outlineLevel="2">
      <c r="A63" s="1" t="s">
        <v>153</v>
      </c>
      <c r="B63" s="70" t="s">
        <v>174</v>
      </c>
      <c r="C63" s="83"/>
      <c r="D63" s="70" t="s">
        <v>155</v>
      </c>
      <c r="E63" s="69" t="s">
        <v>18</v>
      </c>
      <c r="F63" s="70" t="s">
        <v>155</v>
      </c>
      <c r="G63" s="69" t="s">
        <v>18</v>
      </c>
      <c r="H63" s="244" t="s">
        <v>18</v>
      </c>
      <c r="I63" s="235"/>
      <c r="J63" s="246" t="s">
        <v>18</v>
      </c>
      <c r="K63" s="234"/>
      <c r="L63" s="244" t="s">
        <v>18</v>
      </c>
      <c r="M63" s="234"/>
      <c r="N63" s="70" t="s">
        <v>175</v>
      </c>
      <c r="O63" s="19">
        <v>0</v>
      </c>
      <c r="P63" s="247"/>
      <c r="Q63" s="235"/>
      <c r="R63" s="247"/>
      <c r="S63" s="235"/>
      <c r="T63" s="247"/>
      <c r="U63" s="235"/>
      <c r="V63" s="247"/>
      <c r="W63" s="235"/>
      <c r="X63" s="247"/>
      <c r="Y63" s="235"/>
      <c r="Z63" s="247"/>
      <c r="AA63" s="235"/>
      <c r="AB63" s="247"/>
      <c r="AC63" s="235"/>
      <c r="AD63" s="247"/>
      <c r="AE63" s="235"/>
      <c r="AF63" s="247"/>
      <c r="AG63" s="235"/>
    </row>
    <row r="64" spans="1:33" ht="15.75" customHeight="1">
      <c r="A64" s="243"/>
      <c r="B64" s="234"/>
      <c r="C64" s="234"/>
      <c r="D64" s="234"/>
      <c r="E64" s="234"/>
      <c r="F64" s="234"/>
      <c r="G64" s="234"/>
      <c r="H64" s="234"/>
      <c r="I64" s="234"/>
      <c r="J64" s="234"/>
      <c r="K64" s="234"/>
      <c r="L64" s="234"/>
      <c r="M64" s="234"/>
      <c r="N64" s="234"/>
      <c r="O64" s="234"/>
    </row>
    <row r="65" spans="1:33" ht="15.75" customHeight="1" collapsed="1">
      <c r="A65" s="90" t="s">
        <v>176</v>
      </c>
      <c r="B65" s="211">
        <f>SUM(C66,B67,C70)</f>
        <v>3.0092592592592595E-4</v>
      </c>
      <c r="C65" s="235"/>
      <c r="D65" s="211">
        <f>SUM(E66,D67,E70)</f>
        <v>2.8935185185185184E-4</v>
      </c>
      <c r="E65" s="235"/>
      <c r="F65" s="211">
        <f>SUM(G66,F67,G70)</f>
        <v>2.4305555555555555E-4</v>
      </c>
      <c r="G65" s="235"/>
      <c r="H65" s="211">
        <f>SUM(I66,H67,I70)</f>
        <v>2.0833333333333332E-4</v>
      </c>
      <c r="I65" s="235"/>
      <c r="J65" s="211">
        <f>SUM(K66,J67,K70)</f>
        <v>4.6296296296296298E-4</v>
      </c>
      <c r="K65" s="235"/>
      <c r="L65" s="211">
        <f>SUM(M66,L67,M70)</f>
        <v>1.8518518518518518E-4</v>
      </c>
      <c r="M65" s="235"/>
      <c r="N65" s="211">
        <f>SUM(O66,N67,O70)</f>
        <v>6.134259259259259E-4</v>
      </c>
      <c r="O65" s="235"/>
      <c r="P65" s="211">
        <f>SUM(Q66,P67,Q70)</f>
        <v>4.0509259259259258E-4</v>
      </c>
      <c r="Q65" s="235"/>
      <c r="R65" s="211">
        <f>SUM(S66,R67,S70)</f>
        <v>3.2407407407407406E-4</v>
      </c>
      <c r="S65" s="235"/>
      <c r="T65" s="211">
        <f>SUM(U66,T67,U70)</f>
        <v>3.9351851851851852E-4</v>
      </c>
      <c r="U65" s="235"/>
      <c r="V65" s="211">
        <f>SUM(W66,V67,W70)</f>
        <v>3.3564814814814818E-4</v>
      </c>
      <c r="W65" s="235"/>
      <c r="X65" s="211">
        <f>SUM(Y66,X67,Y70)</f>
        <v>0</v>
      </c>
      <c r="Y65" s="235"/>
      <c r="Z65" s="211">
        <f>SUM(AA66,Z67,AA70)</f>
        <v>0</v>
      </c>
      <c r="AA65" s="235"/>
      <c r="AB65" s="211">
        <f>SUM(AC66,AB67,AC70)</f>
        <v>0</v>
      </c>
      <c r="AC65" s="235"/>
      <c r="AD65" s="211">
        <f>SUM(AE66,AD67,AE70)</f>
        <v>0</v>
      </c>
      <c r="AE65" s="235"/>
      <c r="AF65" s="211">
        <f>SUM(AG66,AF67,AG70)</f>
        <v>0</v>
      </c>
      <c r="AG65" s="235"/>
    </row>
    <row r="66" spans="1:33" ht="15.75" hidden="1" customHeight="1" outlineLevel="1">
      <c r="A66" s="1" t="s">
        <v>177</v>
      </c>
      <c r="B66" s="70" t="s">
        <v>178</v>
      </c>
      <c r="C66" s="19">
        <v>8.1018518518518516E-5</v>
      </c>
      <c r="D66" s="70" t="s">
        <v>179</v>
      </c>
      <c r="E66" s="73">
        <v>4.6296296296296294E-5</v>
      </c>
      <c r="F66" s="70" t="s">
        <v>180</v>
      </c>
      <c r="G66" s="73">
        <v>4.6296296296296294E-5</v>
      </c>
      <c r="H66" s="70" t="s">
        <v>181</v>
      </c>
      <c r="I66" s="73">
        <v>6.9444444444444444E-5</v>
      </c>
      <c r="J66" s="91" t="s">
        <v>182</v>
      </c>
      <c r="K66" s="74">
        <v>1.0416666666666667E-4</v>
      </c>
      <c r="L66" s="70" t="s">
        <v>183</v>
      </c>
      <c r="M66" s="74">
        <v>6.9444444444444444E-5</v>
      </c>
      <c r="N66" s="70" t="s">
        <v>184</v>
      </c>
      <c r="O66" s="73">
        <v>9.2592592592592588E-5</v>
      </c>
      <c r="P66" s="72" t="s">
        <v>185</v>
      </c>
      <c r="Q66" s="82">
        <v>1.7361111111111112E-4</v>
      </c>
      <c r="R66" s="70" t="s">
        <v>186</v>
      </c>
      <c r="S66" s="73">
        <v>8.1018518518518516E-5</v>
      </c>
      <c r="T66" s="70" t="s">
        <v>187</v>
      </c>
      <c r="U66" s="19">
        <v>2.3148148148148147E-5</v>
      </c>
      <c r="V66" s="72" t="s">
        <v>188</v>
      </c>
      <c r="W66" s="82">
        <v>1.0416666666666667E-4</v>
      </c>
      <c r="X66" s="70"/>
      <c r="Y66" s="83"/>
      <c r="Z66" s="70"/>
      <c r="AA66" s="83"/>
      <c r="AB66" s="78"/>
      <c r="AC66" s="83"/>
      <c r="AD66" s="78"/>
      <c r="AE66" s="83"/>
      <c r="AF66" s="78"/>
      <c r="AG66" s="83"/>
    </row>
    <row r="67" spans="1:33" ht="15.75" hidden="1" customHeight="1" outlineLevel="1" collapsed="1">
      <c r="A67" s="1" t="s">
        <v>189</v>
      </c>
      <c r="B67" s="202">
        <f>SUM(C68:C69)</f>
        <v>1.6203703703703703E-4</v>
      </c>
      <c r="C67" s="235"/>
      <c r="D67" s="192">
        <f>SUM(E68:E69)</f>
        <v>1.5046296296296297E-4</v>
      </c>
      <c r="E67" s="235"/>
      <c r="F67" s="192">
        <f>SUM(G68:G69)</f>
        <v>1.273148148148148E-4</v>
      </c>
      <c r="G67" s="235"/>
      <c r="H67" s="192">
        <f>SUM(I68,I69)</f>
        <v>1.1574074074074073E-4</v>
      </c>
      <c r="I67" s="235"/>
      <c r="J67" s="192">
        <f>SUM(K68:K69)</f>
        <v>3.0092592592592595E-4</v>
      </c>
      <c r="K67" s="235"/>
      <c r="L67" s="192">
        <f>SUM(M68:M69)</f>
        <v>9.2592592592592602E-5</v>
      </c>
      <c r="M67" s="235"/>
      <c r="N67" s="192">
        <f>SUM(O68,O69)</f>
        <v>2.8935185185185184E-4</v>
      </c>
      <c r="O67" s="235"/>
      <c r="P67" s="212">
        <f>SUM(Q68:Q69)</f>
        <v>1.5046296296296297E-4</v>
      </c>
      <c r="Q67" s="235"/>
      <c r="R67" s="192">
        <f>SUM(S68:S69)</f>
        <v>1.7361111111111109E-4</v>
      </c>
      <c r="S67" s="235"/>
      <c r="T67" s="202">
        <f>SUM(U68:U69)</f>
        <v>2.3148148148148149E-4</v>
      </c>
      <c r="U67" s="235"/>
      <c r="V67" s="212">
        <f>SUM(W68:W69)</f>
        <v>1.9675925925925926E-4</v>
      </c>
      <c r="W67" s="235"/>
      <c r="X67" s="192">
        <f>SUM(Y68:Y69)</f>
        <v>0</v>
      </c>
      <c r="Y67" s="235"/>
      <c r="Z67" s="202">
        <f>SUM(AA68:AA69)</f>
        <v>0</v>
      </c>
      <c r="AA67" s="235"/>
      <c r="AB67" s="212">
        <f>SUM(AC68:AC69)</f>
        <v>0</v>
      </c>
      <c r="AC67" s="235"/>
      <c r="AD67" s="192">
        <f>SUM(AE68:AE69)</f>
        <v>0</v>
      </c>
      <c r="AE67" s="235"/>
      <c r="AF67" s="202">
        <f>SUM(AG68:AG69)</f>
        <v>0</v>
      </c>
      <c r="AG67" s="235"/>
    </row>
    <row r="68" spans="1:33" ht="15.75" hidden="1" customHeight="1" outlineLevel="2">
      <c r="A68" s="81" t="s">
        <v>132</v>
      </c>
      <c r="B68" s="70" t="s">
        <v>190</v>
      </c>
      <c r="C68" s="19">
        <v>5.7870370370370373E-5</v>
      </c>
      <c r="D68" s="70" t="s">
        <v>191</v>
      </c>
      <c r="E68" s="19">
        <v>4.6296296296296294E-5</v>
      </c>
      <c r="F68" s="70" t="s">
        <v>192</v>
      </c>
      <c r="G68" s="19">
        <v>4.6296296296296294E-5</v>
      </c>
      <c r="H68" s="70" t="s">
        <v>193</v>
      </c>
      <c r="I68" s="19">
        <v>2.3148148148148147E-5</v>
      </c>
      <c r="J68" s="91" t="s">
        <v>194</v>
      </c>
      <c r="K68" s="71">
        <v>1.3888888888888889E-4</v>
      </c>
      <c r="L68" s="70" t="s">
        <v>195</v>
      </c>
      <c r="M68" s="71">
        <v>3.4722222222222222E-5</v>
      </c>
      <c r="N68" s="70" t="s">
        <v>196</v>
      </c>
      <c r="O68" s="19">
        <v>1.0416666666666667E-4</v>
      </c>
      <c r="P68" s="72" t="s">
        <v>197</v>
      </c>
      <c r="Q68" s="82">
        <v>5.7870370370370373E-5</v>
      </c>
      <c r="R68" s="70" t="s">
        <v>198</v>
      </c>
      <c r="S68" s="19">
        <v>9.2592592592592588E-5</v>
      </c>
      <c r="T68" s="70" t="s">
        <v>199</v>
      </c>
      <c r="U68" s="19">
        <v>1.1574074074074075E-4</v>
      </c>
      <c r="V68" s="72" t="s">
        <v>200</v>
      </c>
      <c r="W68" s="82">
        <v>1.273148148148148E-4</v>
      </c>
      <c r="X68" s="70"/>
      <c r="Y68" s="83"/>
      <c r="Z68" s="70"/>
      <c r="AA68" s="83"/>
      <c r="AB68" s="78"/>
      <c r="AC68" s="83"/>
      <c r="AD68" s="78"/>
      <c r="AE68" s="83"/>
      <c r="AF68" s="78"/>
      <c r="AG68" s="83"/>
    </row>
    <row r="69" spans="1:33" ht="15.75" hidden="1" customHeight="1" outlineLevel="2">
      <c r="A69" s="81" t="s">
        <v>174</v>
      </c>
      <c r="B69" s="70" t="s">
        <v>201</v>
      </c>
      <c r="C69" s="19">
        <v>1.0416666666666667E-4</v>
      </c>
      <c r="D69" s="70" t="s">
        <v>202</v>
      </c>
      <c r="E69" s="19">
        <v>1.0416666666666667E-4</v>
      </c>
      <c r="F69" s="70" t="s">
        <v>203</v>
      </c>
      <c r="G69" s="19">
        <v>8.1018518518518516E-5</v>
      </c>
      <c r="H69" s="70" t="s">
        <v>204</v>
      </c>
      <c r="I69" s="19">
        <v>9.2592592592592588E-5</v>
      </c>
      <c r="J69" s="91" t="s">
        <v>205</v>
      </c>
      <c r="K69" s="71">
        <v>1.6203703703703703E-4</v>
      </c>
      <c r="L69" s="70" t="s">
        <v>206</v>
      </c>
      <c r="M69" s="71">
        <v>5.7870370370370373E-5</v>
      </c>
      <c r="N69" s="70" t="s">
        <v>207</v>
      </c>
      <c r="O69" s="19">
        <v>1.8518518518518518E-4</v>
      </c>
      <c r="P69" s="72" t="s">
        <v>208</v>
      </c>
      <c r="Q69" s="82">
        <v>9.2592592592592588E-5</v>
      </c>
      <c r="R69" s="70" t="s">
        <v>209</v>
      </c>
      <c r="S69" s="19">
        <v>8.1018518518518516E-5</v>
      </c>
      <c r="T69" s="70" t="s">
        <v>210</v>
      </c>
      <c r="U69" s="19">
        <v>1.1574074074074075E-4</v>
      </c>
      <c r="V69" s="72" t="s">
        <v>211</v>
      </c>
      <c r="W69" s="82">
        <v>6.9444444444444444E-5</v>
      </c>
      <c r="X69" s="70"/>
      <c r="Y69" s="83"/>
      <c r="Z69" s="70"/>
      <c r="AA69" s="83"/>
      <c r="AB69" s="78"/>
      <c r="AC69" s="83"/>
      <c r="AD69" s="78"/>
      <c r="AE69" s="83"/>
      <c r="AF69" s="78"/>
      <c r="AG69" s="83"/>
    </row>
    <row r="70" spans="1:33" ht="15.75" hidden="1" customHeight="1" outlineLevel="1">
      <c r="A70" s="1" t="s">
        <v>212</v>
      </c>
      <c r="B70" s="70" t="s">
        <v>213</v>
      </c>
      <c r="C70" s="19">
        <v>5.7870370370370373E-5</v>
      </c>
      <c r="D70" s="70" t="s">
        <v>214</v>
      </c>
      <c r="E70" s="73">
        <v>9.2592592592592588E-5</v>
      </c>
      <c r="F70" s="70" t="s">
        <v>215</v>
      </c>
      <c r="G70" s="73">
        <v>6.9444444444444444E-5</v>
      </c>
      <c r="H70" s="70" t="s">
        <v>216</v>
      </c>
      <c r="I70" s="73">
        <v>2.3148148148148147E-5</v>
      </c>
      <c r="J70" s="91" t="s">
        <v>217</v>
      </c>
      <c r="K70" s="74">
        <v>5.7870370370370373E-5</v>
      </c>
      <c r="L70" s="70" t="s">
        <v>218</v>
      </c>
      <c r="M70" s="74">
        <v>2.3148148148148147E-5</v>
      </c>
      <c r="N70" s="70" t="s">
        <v>219</v>
      </c>
      <c r="O70" s="73">
        <v>2.3148148148148149E-4</v>
      </c>
      <c r="P70" s="72" t="s">
        <v>220</v>
      </c>
      <c r="Q70" s="82">
        <v>8.1018518518518516E-5</v>
      </c>
      <c r="R70" s="70" t="s">
        <v>221</v>
      </c>
      <c r="S70" s="73">
        <v>6.9444444444444444E-5</v>
      </c>
      <c r="T70" s="70" t="s">
        <v>222</v>
      </c>
      <c r="U70" s="19">
        <v>1.3888888888888889E-4</v>
      </c>
      <c r="V70" s="72" t="s">
        <v>223</v>
      </c>
      <c r="W70" s="82">
        <v>3.4722222222222222E-5</v>
      </c>
      <c r="X70" s="70"/>
      <c r="Y70" s="83"/>
      <c r="Z70" s="70"/>
      <c r="AA70" s="83"/>
      <c r="AB70" s="78"/>
      <c r="AC70" s="83"/>
      <c r="AD70" s="78"/>
      <c r="AE70" s="83"/>
      <c r="AF70" s="78"/>
      <c r="AG70" s="83"/>
    </row>
    <row r="71" spans="1:33" ht="15.75" customHeight="1">
      <c r="A71" s="243"/>
      <c r="B71" s="234"/>
      <c r="C71" s="234"/>
      <c r="D71" s="234"/>
      <c r="E71" s="234"/>
      <c r="F71" s="234"/>
      <c r="G71" s="234"/>
      <c r="H71" s="234"/>
      <c r="I71" s="234"/>
      <c r="J71" s="234"/>
      <c r="K71" s="234"/>
      <c r="L71" s="234"/>
      <c r="M71" s="234"/>
      <c r="N71" s="234"/>
      <c r="O71" s="234"/>
    </row>
    <row r="72" spans="1:33" ht="15.75" customHeight="1" collapsed="1">
      <c r="A72" s="92" t="s">
        <v>224</v>
      </c>
      <c r="B72" s="209">
        <f>SUM(C73:C77)</f>
        <v>5.5555555555555556E-4</v>
      </c>
      <c r="C72" s="235"/>
      <c r="D72" s="209">
        <f>SUM(E73:E77)</f>
        <v>3.703703703703703E-4</v>
      </c>
      <c r="E72" s="235"/>
      <c r="F72" s="209">
        <f>SUM(G73:G76)</f>
        <v>3.9351851851851852E-4</v>
      </c>
      <c r="G72" s="235"/>
      <c r="H72" s="209">
        <f>SUM(I73,I74,I75,I76,I77)</f>
        <v>4.3981481481481486E-4</v>
      </c>
      <c r="I72" s="235"/>
      <c r="J72" s="209">
        <f>SUM(K73:K77)</f>
        <v>7.2916666666666681E-4</v>
      </c>
      <c r="K72" s="235"/>
      <c r="L72" s="209">
        <f>SUM(M73:M77)</f>
        <v>5.4398148148148155E-4</v>
      </c>
      <c r="M72" s="235"/>
      <c r="N72" s="209">
        <f>SUM(O73,O74,O75,O76,O77)</f>
        <v>3.9351851851851847E-4</v>
      </c>
      <c r="O72" s="235"/>
      <c r="P72" s="209">
        <f>SUM(Q73:Q77)</f>
        <v>1.8750000000000004E-3</v>
      </c>
      <c r="Q72" s="235"/>
      <c r="R72" s="209">
        <f>SUM(S73:S77)</f>
        <v>1.4236111111111112E-3</v>
      </c>
      <c r="S72" s="235"/>
      <c r="T72" s="209">
        <f>SUM(U73:U77)</f>
        <v>1.0763888888888889E-3</v>
      </c>
      <c r="U72" s="235"/>
      <c r="V72" s="209">
        <f>SUM(W73:W77)</f>
        <v>8.2175925925925927E-4</v>
      </c>
      <c r="W72" s="235"/>
      <c r="X72" s="209">
        <f>SUM(Y73:Y77)</f>
        <v>0</v>
      </c>
      <c r="Y72" s="235"/>
      <c r="Z72" s="209">
        <f>SUM(AA73:AA77)</f>
        <v>0</v>
      </c>
      <c r="AA72" s="235"/>
      <c r="AB72" s="209">
        <f>SUM(AC73:AC77)</f>
        <v>0</v>
      </c>
      <c r="AC72" s="235"/>
      <c r="AD72" s="209">
        <f>SUM(AE73:AE77)</f>
        <v>0</v>
      </c>
      <c r="AE72" s="235"/>
      <c r="AF72" s="209">
        <f>SUM(AG73:AG77)</f>
        <v>0</v>
      </c>
      <c r="AG72" s="235"/>
    </row>
    <row r="73" spans="1:33" ht="15.75" hidden="1" customHeight="1" outlineLevel="1">
      <c r="A73" s="81" t="s">
        <v>177</v>
      </c>
      <c r="B73" s="70" t="s">
        <v>225</v>
      </c>
      <c r="C73" s="19">
        <v>8.1018518518518516E-5</v>
      </c>
      <c r="D73" s="70" t="s">
        <v>226</v>
      </c>
      <c r="E73" s="73">
        <v>1.273148148148148E-4</v>
      </c>
      <c r="F73" s="70" t="s">
        <v>227</v>
      </c>
      <c r="G73" s="73">
        <v>8.1018518518518516E-5</v>
      </c>
      <c r="H73" s="70" t="s">
        <v>228</v>
      </c>
      <c r="I73" s="73">
        <v>4.6296296296296294E-5</v>
      </c>
      <c r="J73" s="1" t="s">
        <v>229</v>
      </c>
      <c r="K73" s="74">
        <v>3.4722222222222222E-5</v>
      </c>
      <c r="L73" s="72" t="s">
        <v>230</v>
      </c>
      <c r="M73" s="74">
        <v>4.6296296296296294E-5</v>
      </c>
      <c r="N73" s="70" t="s">
        <v>231</v>
      </c>
      <c r="O73" s="73">
        <v>1.1574074074074075E-4</v>
      </c>
      <c r="P73" s="72" t="s">
        <v>232</v>
      </c>
      <c r="Q73" s="73">
        <v>1.1111111111111111E-3</v>
      </c>
      <c r="R73" s="70" t="s">
        <v>233</v>
      </c>
      <c r="S73" s="73">
        <v>4.0509259259259258E-4</v>
      </c>
      <c r="T73" s="70" t="s">
        <v>234</v>
      </c>
      <c r="U73" s="73">
        <v>2.0833333333333335E-4</v>
      </c>
      <c r="V73" s="72" t="s">
        <v>235</v>
      </c>
      <c r="W73" s="73">
        <v>1.3888888888888889E-4</v>
      </c>
      <c r="X73" s="70"/>
      <c r="Y73" s="83"/>
      <c r="Z73" s="70"/>
      <c r="AA73" s="83"/>
      <c r="AB73" s="78"/>
      <c r="AC73" s="83"/>
      <c r="AD73" s="78"/>
      <c r="AE73" s="83"/>
      <c r="AF73" s="78"/>
      <c r="AG73" s="83"/>
    </row>
    <row r="74" spans="1:33" ht="15.75" hidden="1" customHeight="1" outlineLevel="1">
      <c r="A74" s="81" t="s">
        <v>236</v>
      </c>
      <c r="B74" s="70" t="s">
        <v>237</v>
      </c>
      <c r="C74" s="19">
        <v>3.4722222222222222E-5</v>
      </c>
      <c r="D74" s="70" t="s">
        <v>238</v>
      </c>
      <c r="E74" s="73">
        <v>8.1018518518518516E-5</v>
      </c>
      <c r="F74" s="70" t="s">
        <v>239</v>
      </c>
      <c r="G74" s="73">
        <v>1.273148148148148E-4</v>
      </c>
      <c r="H74" s="70" t="s">
        <v>240</v>
      </c>
      <c r="I74" s="73">
        <v>1.1574074074074073E-5</v>
      </c>
      <c r="J74" s="1" t="s">
        <v>241</v>
      </c>
      <c r="K74" s="74">
        <v>1.1574074074074073E-5</v>
      </c>
      <c r="L74" s="72" t="s">
        <v>242</v>
      </c>
      <c r="M74" s="74">
        <v>2.3148148148148147E-5</v>
      </c>
      <c r="N74" s="70" t="s">
        <v>243</v>
      </c>
      <c r="O74" s="73">
        <v>4.6296296296296294E-5</v>
      </c>
      <c r="P74" s="72" t="s">
        <v>244</v>
      </c>
      <c r="Q74" s="73">
        <v>5.7870370370370373E-5</v>
      </c>
      <c r="R74" s="70" t="s">
        <v>245</v>
      </c>
      <c r="S74" s="73">
        <v>5.7870370370370373E-5</v>
      </c>
      <c r="T74" s="70" t="s">
        <v>246</v>
      </c>
      <c r="U74" s="73">
        <v>6.9444444444444444E-5</v>
      </c>
      <c r="V74" s="72" t="s">
        <v>247</v>
      </c>
      <c r="W74" s="73">
        <v>2.3148148148148147E-5</v>
      </c>
      <c r="X74" s="70"/>
      <c r="Y74" s="83"/>
      <c r="Z74" s="70"/>
      <c r="AA74" s="83"/>
      <c r="AB74" s="78"/>
      <c r="AC74" s="83"/>
      <c r="AD74" s="78"/>
      <c r="AE74" s="83"/>
      <c r="AF74" s="78"/>
      <c r="AG74" s="83"/>
    </row>
    <row r="75" spans="1:33" ht="15.75" hidden="1" customHeight="1" outlineLevel="1">
      <c r="A75" s="81" t="s">
        <v>248</v>
      </c>
      <c r="B75" s="70" t="s">
        <v>249</v>
      </c>
      <c r="C75" s="19">
        <v>2.0833333333333335E-4</v>
      </c>
      <c r="D75" s="70" t="s">
        <v>250</v>
      </c>
      <c r="E75" s="73">
        <v>4.6296296296296294E-5</v>
      </c>
      <c r="F75" s="70" t="s">
        <v>251</v>
      </c>
      <c r="G75" s="73">
        <v>1.5046296296296297E-4</v>
      </c>
      <c r="H75" s="70" t="s">
        <v>252</v>
      </c>
      <c r="I75" s="73">
        <v>1.6203703703703703E-4</v>
      </c>
      <c r="J75" s="1" t="s">
        <v>253</v>
      </c>
      <c r="K75" s="74">
        <v>4.861111111111111E-4</v>
      </c>
      <c r="L75" s="72" t="s">
        <v>254</v>
      </c>
      <c r="M75" s="74">
        <v>2.6620370370370372E-4</v>
      </c>
      <c r="N75" s="70" t="s">
        <v>255</v>
      </c>
      <c r="O75" s="73">
        <v>1.273148148148148E-4</v>
      </c>
      <c r="P75" s="72" t="s">
        <v>256</v>
      </c>
      <c r="Q75" s="73">
        <v>3.0092592592592595E-4</v>
      </c>
      <c r="R75" s="72" t="s">
        <v>257</v>
      </c>
      <c r="S75" s="73">
        <v>2.6620370370370372E-4</v>
      </c>
      <c r="T75" s="72" t="s">
        <v>258</v>
      </c>
      <c r="U75" s="73">
        <v>4.861111111111111E-4</v>
      </c>
      <c r="V75" s="72" t="s">
        <v>259</v>
      </c>
      <c r="W75" s="73">
        <v>2.6620370370370372E-4</v>
      </c>
      <c r="X75" s="70"/>
      <c r="Y75" s="83"/>
      <c r="Z75" s="70"/>
      <c r="AA75" s="83"/>
      <c r="AB75" s="78"/>
      <c r="AC75" s="83"/>
      <c r="AD75" s="78"/>
      <c r="AE75" s="83"/>
      <c r="AF75" s="78"/>
      <c r="AG75" s="83"/>
    </row>
    <row r="76" spans="1:33" ht="15.75" hidden="1" customHeight="1" outlineLevel="1">
      <c r="A76" s="81" t="s">
        <v>260</v>
      </c>
      <c r="B76" s="70" t="s">
        <v>261</v>
      </c>
      <c r="C76" s="19">
        <v>2.0833333333333335E-4</v>
      </c>
      <c r="D76" s="70" t="s">
        <v>262</v>
      </c>
      <c r="E76" s="73">
        <v>5.7870370370370373E-5</v>
      </c>
      <c r="F76" s="70" t="s">
        <v>263</v>
      </c>
      <c r="G76" s="73">
        <v>3.4722222222222222E-5</v>
      </c>
      <c r="H76" s="70" t="s">
        <v>264</v>
      </c>
      <c r="I76" s="73">
        <v>8.1018518518518516E-5</v>
      </c>
      <c r="J76" s="1" t="s">
        <v>265</v>
      </c>
      <c r="K76" s="74">
        <v>4.6296296296296294E-5</v>
      </c>
      <c r="L76" s="70" t="s">
        <v>266</v>
      </c>
      <c r="M76" s="74">
        <v>2.3148148148148147E-5</v>
      </c>
      <c r="N76" s="70" t="s">
        <v>267</v>
      </c>
      <c r="O76" s="73">
        <v>5.7870370370370373E-5</v>
      </c>
      <c r="P76" s="72" t="s">
        <v>268</v>
      </c>
      <c r="Q76" s="73">
        <v>1.9675925925925926E-4</v>
      </c>
      <c r="R76" s="72" t="s">
        <v>269</v>
      </c>
      <c r="S76" s="73">
        <v>4.6296296296296298E-4</v>
      </c>
      <c r="T76" s="70" t="s">
        <v>270</v>
      </c>
      <c r="U76" s="73">
        <v>6.9444444444444444E-5</v>
      </c>
      <c r="V76" s="72" t="s">
        <v>18</v>
      </c>
      <c r="W76" s="83"/>
      <c r="X76" s="70"/>
      <c r="Y76" s="83"/>
      <c r="Z76" s="70"/>
      <c r="AA76" s="83"/>
      <c r="AB76" s="78"/>
      <c r="AC76" s="83"/>
      <c r="AD76" s="78"/>
      <c r="AE76" s="83"/>
      <c r="AF76" s="78"/>
      <c r="AG76" s="83"/>
    </row>
    <row r="77" spans="1:33" ht="15.75" hidden="1" customHeight="1" outlineLevel="1">
      <c r="A77" s="81" t="s">
        <v>271</v>
      </c>
      <c r="B77" s="70" t="s">
        <v>272</v>
      </c>
      <c r="C77" s="19">
        <v>2.3148148148148147E-5</v>
      </c>
      <c r="D77" s="70" t="s">
        <v>273</v>
      </c>
      <c r="E77" s="73">
        <v>5.7870370370370373E-5</v>
      </c>
      <c r="F77" s="70" t="s">
        <v>274</v>
      </c>
      <c r="G77" s="69"/>
      <c r="H77" s="70" t="s">
        <v>275</v>
      </c>
      <c r="I77" s="73">
        <v>1.3888888888888889E-4</v>
      </c>
      <c r="J77" s="1" t="s">
        <v>276</v>
      </c>
      <c r="K77" s="74">
        <v>1.5046296296296297E-4</v>
      </c>
      <c r="L77" s="70" t="s">
        <v>277</v>
      </c>
      <c r="M77" s="74">
        <v>1.8518518518518518E-4</v>
      </c>
      <c r="N77" s="70" t="s">
        <v>278</v>
      </c>
      <c r="O77" s="73">
        <v>4.6296296296296294E-5</v>
      </c>
      <c r="P77" s="72" t="s">
        <v>279</v>
      </c>
      <c r="Q77" s="73">
        <v>2.0833333333333335E-4</v>
      </c>
      <c r="R77" s="70" t="s">
        <v>280</v>
      </c>
      <c r="S77" s="73">
        <v>2.3148148148148149E-4</v>
      </c>
      <c r="T77" s="70" t="s">
        <v>281</v>
      </c>
      <c r="U77" s="73">
        <v>2.4305555555555555E-4</v>
      </c>
      <c r="V77" s="72" t="s">
        <v>282</v>
      </c>
      <c r="W77" s="73">
        <v>3.9351851851851852E-4</v>
      </c>
      <c r="X77" s="70"/>
      <c r="Y77" s="83"/>
      <c r="Z77" s="70"/>
      <c r="AA77" s="83"/>
      <c r="AB77" s="78"/>
      <c r="AC77" s="83"/>
      <c r="AD77" s="78"/>
      <c r="AE77" s="83"/>
      <c r="AF77" s="78"/>
      <c r="AG77" s="83"/>
    </row>
    <row r="78" spans="1:33" ht="15.75" customHeight="1">
      <c r="A78" s="243"/>
      <c r="B78" s="234"/>
      <c r="C78" s="234"/>
      <c r="D78" s="234"/>
      <c r="E78" s="234"/>
      <c r="F78" s="234"/>
      <c r="G78" s="234"/>
      <c r="H78" s="234"/>
      <c r="I78" s="234"/>
      <c r="J78" s="234"/>
      <c r="K78" s="234"/>
      <c r="L78" s="234"/>
      <c r="M78" s="234"/>
      <c r="N78" s="234"/>
      <c r="O78" s="234"/>
    </row>
    <row r="79" spans="1:33" ht="15.75" customHeight="1" collapsed="1">
      <c r="A79" s="93" t="s">
        <v>283</v>
      </c>
      <c r="B79" s="210">
        <f>SUM(B80:C93)</f>
        <v>3.3449074074074071E-3</v>
      </c>
      <c r="C79" s="235"/>
      <c r="D79" s="210">
        <f>SUM(D80,D83,D86,E89,D93)</f>
        <v>1.4120370370370372E-3</v>
      </c>
      <c r="E79" s="235"/>
      <c r="F79" s="210">
        <f>SUM(F80,F83,F86,G89,F90,F93)</f>
        <v>1.2152777777777778E-3</v>
      </c>
      <c r="G79" s="235"/>
      <c r="H79" s="210">
        <f>SUM(I80,I83,I86,I89,I93)</f>
        <v>1.1689814814814813E-3</v>
      </c>
      <c r="I79" s="235"/>
      <c r="J79" s="210">
        <f>SUM(K80,K83,K86,K89,J90,J93)</f>
        <v>9.3749999999999997E-4</v>
      </c>
      <c r="K79" s="235"/>
      <c r="L79" s="210">
        <f>SUM(M80,M83,M86,M89,L90,L93)</f>
        <v>1.0648148148148149E-3</v>
      </c>
      <c r="M79" s="235"/>
      <c r="N79" s="210">
        <f>SUM(O80,O83,O86,O89,N90,N93)</f>
        <v>4.293981481481482E-3</v>
      </c>
      <c r="O79" s="235"/>
      <c r="P79" s="210">
        <f>SUM(Q80,Q83,,Q86,Q89,Q90,Q93)</f>
        <v>2.6388888888888885E-3</v>
      </c>
      <c r="Q79" s="235"/>
      <c r="R79" s="210">
        <f>SUM(S80,S83,S86,S89,S90,S93)</f>
        <v>6.9444444444444444E-5</v>
      </c>
      <c r="S79" s="235"/>
      <c r="T79" s="210">
        <f>SUM(U80,U83,U86,U89,U90,U93)</f>
        <v>1.8287037037037037E-3</v>
      </c>
      <c r="U79" s="235"/>
      <c r="V79" s="210">
        <f>SUM(W80,W83,,W86,W89,W90,W93)</f>
        <v>0</v>
      </c>
      <c r="W79" s="235"/>
      <c r="X79" s="210">
        <f>SUM(Y80,Y83,Y86,Y89,Y90,Y93)</f>
        <v>0</v>
      </c>
      <c r="Y79" s="235"/>
      <c r="Z79" s="210">
        <f>SUM(AA80,AA83,AA86,AA89,AA90,AA93)</f>
        <v>0</v>
      </c>
      <c r="AA79" s="235"/>
      <c r="AB79" s="210">
        <f>SUM(AC80,AC83,,AC86,AC89,AC90,AC93)</f>
        <v>0</v>
      </c>
      <c r="AC79" s="235"/>
      <c r="AD79" s="210">
        <f>SUM(AE80,AE83,AE86,AE89,AE90,AE93)</f>
        <v>0</v>
      </c>
      <c r="AE79" s="235"/>
      <c r="AF79" s="210">
        <f>SUM(AG80,AG83,AG86,AG89,AG90,AG93)</f>
        <v>0</v>
      </c>
      <c r="AG79" s="235"/>
    </row>
    <row r="80" spans="1:33" ht="15.75" hidden="1" customHeight="1" outlineLevel="1" collapsed="1">
      <c r="A80" s="81" t="s">
        <v>177</v>
      </c>
      <c r="B80" s="202">
        <f>SUM(C81:C82)</f>
        <v>2.6620370370370372E-4</v>
      </c>
      <c r="C80" s="235"/>
      <c r="D80" s="192">
        <f>SUM(E81:E82)</f>
        <v>2.5462962962962961E-4</v>
      </c>
      <c r="E80" s="235"/>
      <c r="F80" s="192">
        <f>SUM(G81:G82)</f>
        <v>1.273148148148148E-4</v>
      </c>
      <c r="G80" s="235"/>
      <c r="H80" s="72" t="s">
        <v>284</v>
      </c>
      <c r="I80" s="94">
        <v>2.3148148148148147E-5</v>
      </c>
      <c r="J80" s="1" t="s">
        <v>285</v>
      </c>
      <c r="K80" s="74">
        <v>3.4722222222222222E-5</v>
      </c>
      <c r="L80" s="70" t="s">
        <v>286</v>
      </c>
      <c r="M80" s="74">
        <v>3.4722222222222222E-5</v>
      </c>
      <c r="N80" s="70" t="s">
        <v>287</v>
      </c>
      <c r="O80" s="73">
        <v>8.1018518518518516E-5</v>
      </c>
      <c r="P80" s="72" t="s">
        <v>288</v>
      </c>
      <c r="Q80" s="73">
        <v>3.5879629629629629E-4</v>
      </c>
      <c r="R80" s="70" t="s">
        <v>289</v>
      </c>
      <c r="S80" s="83"/>
      <c r="T80" s="70" t="s">
        <v>290</v>
      </c>
      <c r="U80" s="73">
        <v>1.6203703703703703E-4</v>
      </c>
      <c r="V80" s="70"/>
      <c r="W80" s="83"/>
      <c r="X80" s="70"/>
      <c r="Y80" s="83"/>
      <c r="Z80" s="70"/>
      <c r="AA80" s="83"/>
      <c r="AB80" s="78"/>
      <c r="AC80" s="83"/>
      <c r="AD80" s="78"/>
      <c r="AE80" s="83"/>
      <c r="AF80" s="78"/>
      <c r="AG80" s="83"/>
    </row>
    <row r="81" spans="1:33" ht="15.75" hidden="1" customHeight="1" outlineLevel="2">
      <c r="A81" s="1" t="s">
        <v>151</v>
      </c>
      <c r="B81" s="70" t="s">
        <v>291</v>
      </c>
      <c r="C81" s="19">
        <v>1.273148148148148E-4</v>
      </c>
      <c r="D81" s="70" t="s">
        <v>18</v>
      </c>
      <c r="E81" s="19">
        <v>0</v>
      </c>
      <c r="F81" s="70" t="s">
        <v>292</v>
      </c>
      <c r="G81" s="19">
        <v>4.6296296296296294E-5</v>
      </c>
      <c r="H81" s="208" t="s">
        <v>18</v>
      </c>
      <c r="I81" s="235"/>
      <c r="J81" s="244" t="s">
        <v>18</v>
      </c>
      <c r="K81" s="235"/>
      <c r="L81" s="244" t="s">
        <v>18</v>
      </c>
      <c r="M81" s="235"/>
      <c r="N81" s="244" t="s">
        <v>18</v>
      </c>
      <c r="O81" s="235"/>
      <c r="P81" s="208" t="s">
        <v>18</v>
      </c>
      <c r="Q81" s="207">
        <v>0</v>
      </c>
      <c r="R81" s="244" t="s">
        <v>18</v>
      </c>
      <c r="S81" s="207">
        <v>0</v>
      </c>
      <c r="T81" s="245" t="s">
        <v>18</v>
      </c>
      <c r="U81" s="207">
        <v>0</v>
      </c>
      <c r="V81" s="208" t="s">
        <v>18</v>
      </c>
      <c r="W81" s="207">
        <v>0</v>
      </c>
      <c r="X81" s="244" t="s">
        <v>18</v>
      </c>
      <c r="Y81" s="207">
        <v>0</v>
      </c>
      <c r="Z81" s="245" t="s">
        <v>18</v>
      </c>
      <c r="AA81" s="207">
        <v>0</v>
      </c>
      <c r="AB81" s="213" t="s">
        <v>18</v>
      </c>
      <c r="AC81" s="207">
        <v>0</v>
      </c>
      <c r="AD81" s="245" t="s">
        <v>18</v>
      </c>
      <c r="AE81" s="207">
        <v>0</v>
      </c>
      <c r="AF81" s="245" t="s">
        <v>18</v>
      </c>
      <c r="AG81" s="207">
        <v>0</v>
      </c>
    </row>
    <row r="82" spans="1:33" ht="15.75" hidden="1" customHeight="1" outlineLevel="2">
      <c r="A82" s="1" t="s">
        <v>153</v>
      </c>
      <c r="B82" s="70" t="s">
        <v>293</v>
      </c>
      <c r="C82" s="19">
        <v>1.3888888888888889E-4</v>
      </c>
      <c r="D82" s="70" t="s">
        <v>294</v>
      </c>
      <c r="E82" s="19">
        <v>2.5462962962962961E-4</v>
      </c>
      <c r="F82" s="70" t="s">
        <v>295</v>
      </c>
      <c r="G82" s="19">
        <v>8.1018518518518516E-5</v>
      </c>
      <c r="H82" s="208" t="s">
        <v>18</v>
      </c>
      <c r="I82" s="235"/>
      <c r="J82" s="244" t="s">
        <v>18</v>
      </c>
      <c r="K82" s="235"/>
      <c r="L82" s="244" t="s">
        <v>18</v>
      </c>
      <c r="M82" s="235"/>
      <c r="N82" s="244" t="s">
        <v>18</v>
      </c>
      <c r="O82" s="235"/>
      <c r="P82" s="247"/>
      <c r="Q82" s="235"/>
      <c r="R82" s="247"/>
      <c r="S82" s="235"/>
      <c r="T82" s="247"/>
      <c r="U82" s="235"/>
      <c r="V82" s="247"/>
      <c r="W82" s="235"/>
      <c r="X82" s="247"/>
      <c r="Y82" s="235"/>
      <c r="Z82" s="247"/>
      <c r="AA82" s="235"/>
      <c r="AB82" s="247"/>
      <c r="AC82" s="235"/>
      <c r="AD82" s="247"/>
      <c r="AE82" s="235"/>
      <c r="AF82" s="247"/>
      <c r="AG82" s="235"/>
    </row>
    <row r="83" spans="1:33" ht="15.75" hidden="1" customHeight="1" outlineLevel="1" collapsed="1">
      <c r="A83" s="81" t="s">
        <v>121</v>
      </c>
      <c r="B83" s="202">
        <f>SUM(C84:C85)</f>
        <v>2.0833333333333335E-4</v>
      </c>
      <c r="C83" s="235"/>
      <c r="D83" s="192">
        <f>SUM(E84:E85)</f>
        <v>1.1574074074074075E-4</v>
      </c>
      <c r="E83" s="235"/>
      <c r="F83" s="192">
        <f>SUM(G84:G85)</f>
        <v>5.7870370370370373E-5</v>
      </c>
      <c r="G83" s="235"/>
      <c r="H83" s="72" t="s">
        <v>296</v>
      </c>
      <c r="I83" s="94">
        <v>3.4722222222222222E-5</v>
      </c>
      <c r="J83" s="1" t="s">
        <v>297</v>
      </c>
      <c r="K83" s="74">
        <v>1.1574074074074073E-5</v>
      </c>
      <c r="L83" s="70" t="s">
        <v>298</v>
      </c>
      <c r="M83" s="74">
        <v>1.1574074074074073E-5</v>
      </c>
      <c r="N83" s="70" t="s">
        <v>299</v>
      </c>
      <c r="O83" s="73">
        <v>4.6296296296296294E-5</v>
      </c>
      <c r="P83" s="72" t="s">
        <v>300</v>
      </c>
      <c r="Q83" s="73">
        <v>3.4722222222222222E-5</v>
      </c>
      <c r="R83" s="70" t="s">
        <v>301</v>
      </c>
      <c r="S83" s="83"/>
      <c r="T83" s="70" t="s">
        <v>302</v>
      </c>
      <c r="U83" s="73">
        <v>8.1018518518518516E-5</v>
      </c>
      <c r="V83" s="70"/>
      <c r="W83" s="83"/>
      <c r="X83" s="70"/>
      <c r="Y83" s="83"/>
      <c r="Z83" s="70"/>
      <c r="AA83" s="83"/>
      <c r="AB83" s="78"/>
      <c r="AC83" s="83"/>
      <c r="AD83" s="78"/>
      <c r="AE83" s="83"/>
      <c r="AF83" s="78"/>
      <c r="AG83" s="83"/>
    </row>
    <row r="84" spans="1:33" ht="15.75" hidden="1" customHeight="1" outlineLevel="2">
      <c r="A84" s="1" t="s">
        <v>151</v>
      </c>
      <c r="B84" s="72" t="s">
        <v>303</v>
      </c>
      <c r="C84" s="19">
        <v>1.1574074074074073E-5</v>
      </c>
      <c r="D84" s="70" t="s">
        <v>18</v>
      </c>
      <c r="E84" s="19">
        <v>0</v>
      </c>
      <c r="F84" s="70" t="s">
        <v>304</v>
      </c>
      <c r="G84" s="19">
        <v>2.3148148148148147E-5</v>
      </c>
      <c r="H84" s="208" t="s">
        <v>18</v>
      </c>
      <c r="I84" s="235"/>
      <c r="J84" s="244" t="s">
        <v>18</v>
      </c>
      <c r="K84" s="235"/>
      <c r="L84" s="244" t="s">
        <v>18</v>
      </c>
      <c r="M84" s="235"/>
      <c r="N84" s="244" t="s">
        <v>18</v>
      </c>
      <c r="O84" s="235"/>
      <c r="P84" s="208" t="s">
        <v>18</v>
      </c>
      <c r="Q84" s="207">
        <v>0</v>
      </c>
      <c r="R84" s="244" t="s">
        <v>18</v>
      </c>
      <c r="S84" s="207">
        <v>0</v>
      </c>
      <c r="T84" s="245" t="s">
        <v>18</v>
      </c>
      <c r="U84" s="207">
        <v>0</v>
      </c>
      <c r="V84" s="208" t="s">
        <v>18</v>
      </c>
      <c r="W84" s="207">
        <v>0</v>
      </c>
      <c r="X84" s="244" t="s">
        <v>18</v>
      </c>
      <c r="Y84" s="207">
        <v>0</v>
      </c>
      <c r="Z84" s="245" t="s">
        <v>18</v>
      </c>
      <c r="AA84" s="207">
        <v>0</v>
      </c>
      <c r="AB84" s="213" t="s">
        <v>18</v>
      </c>
      <c r="AC84" s="207">
        <v>0</v>
      </c>
      <c r="AD84" s="245" t="s">
        <v>18</v>
      </c>
      <c r="AE84" s="207">
        <v>0</v>
      </c>
      <c r="AF84" s="245" t="s">
        <v>18</v>
      </c>
      <c r="AG84" s="207">
        <v>0</v>
      </c>
    </row>
    <row r="85" spans="1:33" ht="15.75" hidden="1" customHeight="1" outlineLevel="2">
      <c r="A85" s="1" t="s">
        <v>153</v>
      </c>
      <c r="B85" s="72" t="s">
        <v>305</v>
      </c>
      <c r="C85" s="19">
        <v>1.9675925925925926E-4</v>
      </c>
      <c r="D85" s="70" t="s">
        <v>306</v>
      </c>
      <c r="E85" s="19">
        <v>1.1574074074074075E-4</v>
      </c>
      <c r="F85" s="70" t="s">
        <v>307</v>
      </c>
      <c r="G85" s="19">
        <v>3.4722222222222222E-5</v>
      </c>
      <c r="H85" s="208" t="s">
        <v>18</v>
      </c>
      <c r="I85" s="235"/>
      <c r="J85" s="244" t="s">
        <v>18</v>
      </c>
      <c r="K85" s="235"/>
      <c r="L85" s="244" t="s">
        <v>18</v>
      </c>
      <c r="M85" s="235"/>
      <c r="N85" s="244" t="s">
        <v>18</v>
      </c>
      <c r="O85" s="235"/>
      <c r="P85" s="247"/>
      <c r="Q85" s="235"/>
      <c r="R85" s="247"/>
      <c r="S85" s="235"/>
      <c r="T85" s="247"/>
      <c r="U85" s="235"/>
      <c r="V85" s="247"/>
      <c r="W85" s="235"/>
      <c r="X85" s="247"/>
      <c r="Y85" s="235"/>
      <c r="Z85" s="247"/>
      <c r="AA85" s="235"/>
      <c r="AB85" s="247"/>
      <c r="AC85" s="235"/>
      <c r="AD85" s="247"/>
      <c r="AE85" s="235"/>
      <c r="AF85" s="247"/>
      <c r="AG85" s="235"/>
    </row>
    <row r="86" spans="1:33" ht="15.75" hidden="1" customHeight="1" outlineLevel="1" collapsed="1">
      <c r="A86" s="81" t="s">
        <v>308</v>
      </c>
      <c r="B86" s="202">
        <f>SUM(C87:C88)</f>
        <v>4.861111111111111E-4</v>
      </c>
      <c r="C86" s="235"/>
      <c r="D86" s="192">
        <f>SUM(E87:E88)</f>
        <v>2.7777777777777778E-4</v>
      </c>
      <c r="E86" s="235"/>
      <c r="F86" s="192">
        <f>SUM(G87:G88)</f>
        <v>3.5879629629629629E-4</v>
      </c>
      <c r="G86" s="235"/>
      <c r="H86" s="72" t="s">
        <v>309</v>
      </c>
      <c r="I86" s="94">
        <v>2.5462962962962961E-4</v>
      </c>
      <c r="J86" s="91" t="s">
        <v>310</v>
      </c>
      <c r="K86" s="74">
        <v>2.7777777777777778E-4</v>
      </c>
      <c r="L86" s="70" t="s">
        <v>311</v>
      </c>
      <c r="M86" s="74">
        <v>3.3564814814814812E-4</v>
      </c>
      <c r="N86" s="72" t="s">
        <v>312</v>
      </c>
      <c r="O86" s="94">
        <v>6.018518518518519E-4</v>
      </c>
      <c r="P86" s="72" t="s">
        <v>313</v>
      </c>
      <c r="Q86" s="73">
        <v>4.0509259259259258E-4</v>
      </c>
      <c r="R86" s="70" t="s">
        <v>314</v>
      </c>
      <c r="S86" s="83"/>
      <c r="T86" s="72" t="s">
        <v>315</v>
      </c>
      <c r="U86" s="73">
        <v>3.2407407407407406E-4</v>
      </c>
      <c r="V86" s="70"/>
      <c r="W86" s="83"/>
      <c r="X86" s="70"/>
      <c r="Y86" s="83"/>
      <c r="Z86" s="70"/>
      <c r="AA86" s="83"/>
      <c r="AB86" s="78"/>
      <c r="AC86" s="83"/>
      <c r="AD86" s="78"/>
      <c r="AE86" s="83"/>
      <c r="AF86" s="78"/>
      <c r="AG86" s="83"/>
    </row>
    <row r="87" spans="1:33" ht="15.75" hidden="1" customHeight="1" outlineLevel="2">
      <c r="A87" s="1" t="s">
        <v>316</v>
      </c>
      <c r="B87" s="70" t="s">
        <v>317</v>
      </c>
      <c r="C87" s="19">
        <v>2.7777777777777778E-4</v>
      </c>
      <c r="D87" s="70" t="s">
        <v>318</v>
      </c>
      <c r="E87" s="19">
        <v>1.0416666666666667E-4</v>
      </c>
      <c r="F87" s="70" t="s">
        <v>319</v>
      </c>
      <c r="G87" s="19">
        <v>1.6203703703703703E-4</v>
      </c>
      <c r="H87" s="208" t="s">
        <v>18</v>
      </c>
      <c r="I87" s="235"/>
      <c r="J87" s="244" t="s">
        <v>18</v>
      </c>
      <c r="K87" s="235"/>
      <c r="L87" s="244" t="s">
        <v>18</v>
      </c>
      <c r="M87" s="235"/>
      <c r="N87" s="244" t="s">
        <v>18</v>
      </c>
      <c r="O87" s="235"/>
      <c r="P87" s="208" t="s">
        <v>18</v>
      </c>
      <c r="Q87" s="207">
        <v>0</v>
      </c>
      <c r="R87" s="244" t="s">
        <v>18</v>
      </c>
      <c r="S87" s="207">
        <v>0</v>
      </c>
      <c r="T87" s="245" t="s">
        <v>18</v>
      </c>
      <c r="U87" s="207">
        <v>0</v>
      </c>
      <c r="V87" s="208" t="s">
        <v>18</v>
      </c>
      <c r="W87" s="207">
        <v>0</v>
      </c>
      <c r="X87" s="244" t="s">
        <v>18</v>
      </c>
      <c r="Y87" s="207">
        <v>0</v>
      </c>
      <c r="Z87" s="245" t="s">
        <v>18</v>
      </c>
      <c r="AA87" s="207">
        <v>0</v>
      </c>
      <c r="AB87" s="213" t="s">
        <v>18</v>
      </c>
      <c r="AC87" s="207">
        <v>0</v>
      </c>
      <c r="AD87" s="245" t="s">
        <v>18</v>
      </c>
      <c r="AE87" s="207">
        <v>0</v>
      </c>
      <c r="AF87" s="245" t="s">
        <v>18</v>
      </c>
      <c r="AG87" s="207">
        <v>0</v>
      </c>
    </row>
    <row r="88" spans="1:33" ht="15.75" hidden="1" customHeight="1" outlineLevel="2">
      <c r="A88" s="1" t="s">
        <v>320</v>
      </c>
      <c r="B88" s="70" t="s">
        <v>321</v>
      </c>
      <c r="C88" s="19">
        <v>2.0833333333333335E-4</v>
      </c>
      <c r="D88" s="70" t="s">
        <v>322</v>
      </c>
      <c r="E88" s="19">
        <v>1.7361111111111112E-4</v>
      </c>
      <c r="F88" s="70" t="s">
        <v>323</v>
      </c>
      <c r="G88" s="19">
        <v>1.9675925925925926E-4</v>
      </c>
      <c r="H88" s="208" t="s">
        <v>18</v>
      </c>
      <c r="I88" s="235"/>
      <c r="J88" s="244" t="s">
        <v>18</v>
      </c>
      <c r="K88" s="235"/>
      <c r="L88" s="244" t="s">
        <v>18</v>
      </c>
      <c r="M88" s="235"/>
      <c r="N88" s="244" t="s">
        <v>18</v>
      </c>
      <c r="O88" s="235"/>
      <c r="P88" s="247"/>
      <c r="Q88" s="235"/>
      <c r="R88" s="247"/>
      <c r="S88" s="235"/>
      <c r="T88" s="247"/>
      <c r="U88" s="235"/>
      <c r="V88" s="247"/>
      <c r="W88" s="235"/>
      <c r="X88" s="247"/>
      <c r="Y88" s="235"/>
      <c r="Z88" s="247"/>
      <c r="AA88" s="235"/>
      <c r="AB88" s="247"/>
      <c r="AC88" s="235"/>
      <c r="AD88" s="247"/>
      <c r="AE88" s="235"/>
      <c r="AF88" s="247"/>
      <c r="AG88" s="235"/>
    </row>
    <row r="89" spans="1:33" ht="15.75" hidden="1" customHeight="1" outlineLevel="1">
      <c r="A89" s="81" t="s">
        <v>324</v>
      </c>
      <c r="B89" s="72" t="s">
        <v>325</v>
      </c>
      <c r="C89" s="19">
        <v>6.8287037037037036E-4</v>
      </c>
      <c r="D89" s="70" t="s">
        <v>326</v>
      </c>
      <c r="E89" s="73">
        <v>7.6388888888888893E-4</v>
      </c>
      <c r="F89" s="72" t="s">
        <v>327</v>
      </c>
      <c r="G89" s="73">
        <v>3.0092592592592595E-4</v>
      </c>
      <c r="H89" s="72" t="s">
        <v>328</v>
      </c>
      <c r="I89" s="94">
        <v>8.564814814814815E-4</v>
      </c>
      <c r="J89" s="91" t="s">
        <v>329</v>
      </c>
      <c r="K89" s="74">
        <v>6.134259259259259E-4</v>
      </c>
      <c r="L89" s="70" t="s">
        <v>330</v>
      </c>
      <c r="M89" s="74">
        <v>6.8287037037037036E-4</v>
      </c>
      <c r="N89" s="70" t="s">
        <v>331</v>
      </c>
      <c r="O89" s="73">
        <v>3.1944444444444446E-3</v>
      </c>
      <c r="P89" s="72" t="s">
        <v>332</v>
      </c>
      <c r="Q89" s="73">
        <v>1.1226851851851851E-3</v>
      </c>
      <c r="R89" s="72" t="s">
        <v>333</v>
      </c>
      <c r="S89" s="83"/>
      <c r="T89" s="72" t="s">
        <v>334</v>
      </c>
      <c r="U89" s="95">
        <v>1.1458333333333333E-3</v>
      </c>
      <c r="V89" s="70"/>
      <c r="W89" s="83"/>
      <c r="X89" s="70"/>
      <c r="Y89" s="83"/>
      <c r="Z89" s="70"/>
      <c r="AA89" s="83"/>
      <c r="AB89" s="78"/>
      <c r="AC89" s="83"/>
      <c r="AD89" s="78"/>
      <c r="AE89" s="83"/>
      <c r="AF89" s="78"/>
      <c r="AG89" s="83"/>
    </row>
    <row r="90" spans="1:33" ht="15.75" hidden="1" customHeight="1" outlineLevel="1" collapsed="1">
      <c r="A90" s="81" t="s">
        <v>335</v>
      </c>
      <c r="B90" s="202">
        <f>SUM(C91:C92)</f>
        <v>3.2407407407407406E-4</v>
      </c>
      <c r="C90" s="235"/>
      <c r="D90" s="214" t="s">
        <v>18</v>
      </c>
      <c r="E90" s="235"/>
      <c r="F90" s="192">
        <f>SUM(G91:G92)</f>
        <v>2.7777777777777778E-4</v>
      </c>
      <c r="G90" s="235"/>
      <c r="H90" s="203">
        <v>0</v>
      </c>
      <c r="I90" s="235"/>
      <c r="J90" s="192">
        <v>0</v>
      </c>
      <c r="K90" s="235"/>
      <c r="L90" s="192">
        <v>0</v>
      </c>
      <c r="M90" s="235"/>
      <c r="N90" s="192">
        <v>0</v>
      </c>
      <c r="O90" s="235"/>
      <c r="P90" s="72" t="s">
        <v>336</v>
      </c>
      <c r="Q90" s="73">
        <v>4.9768518518518521E-4</v>
      </c>
      <c r="R90" s="192">
        <f>SUM(S91:S92)</f>
        <v>3.5879629629629629E-4</v>
      </c>
      <c r="S90" s="235"/>
      <c r="T90" s="192">
        <f>SUM(U91:U92)</f>
        <v>4.2824074074074075E-4</v>
      </c>
      <c r="U90" s="235"/>
      <c r="V90" s="70"/>
      <c r="W90" s="73">
        <f>SUM(W91,W91)</f>
        <v>0</v>
      </c>
      <c r="X90" s="192">
        <f>SUM(Y91:Y92)</f>
        <v>0</v>
      </c>
      <c r="Y90" s="235"/>
      <c r="Z90" s="192">
        <f>SUM(AA91:AA92)</f>
        <v>0</v>
      </c>
      <c r="AA90" s="235"/>
      <c r="AB90" s="78"/>
      <c r="AC90" s="73">
        <f>SUM(AC91,AC91)</f>
        <v>0</v>
      </c>
      <c r="AD90" s="192">
        <f>SUM(AE91:AE92)</f>
        <v>0</v>
      </c>
      <c r="AE90" s="235"/>
      <c r="AF90" s="192">
        <f>SUM(AG91:AG92)</f>
        <v>0</v>
      </c>
      <c r="AG90" s="235"/>
    </row>
    <row r="91" spans="1:33" ht="15.75" hidden="1" customHeight="1" outlineLevel="2">
      <c r="A91" s="1" t="s">
        <v>337</v>
      </c>
      <c r="B91" s="72" t="s">
        <v>338</v>
      </c>
      <c r="C91" s="19">
        <v>1.6203703703703703E-4</v>
      </c>
      <c r="D91" s="70" t="s">
        <v>339</v>
      </c>
      <c r="E91" s="19">
        <v>6.9444444444444444E-5</v>
      </c>
      <c r="F91" s="70" t="s">
        <v>340</v>
      </c>
      <c r="G91" s="19">
        <v>5.7870370370370373E-5</v>
      </c>
      <c r="H91" s="208" t="s">
        <v>18</v>
      </c>
      <c r="I91" s="235"/>
      <c r="J91" s="244" t="s">
        <v>18</v>
      </c>
      <c r="K91" s="235"/>
      <c r="L91" s="244" t="s">
        <v>18</v>
      </c>
      <c r="M91" s="235"/>
      <c r="N91" s="244" t="s">
        <v>18</v>
      </c>
      <c r="O91" s="235"/>
      <c r="P91" s="208" t="s">
        <v>18</v>
      </c>
      <c r="Q91" s="207">
        <v>0</v>
      </c>
      <c r="R91" s="72" t="s">
        <v>341</v>
      </c>
      <c r="S91" s="19">
        <v>1.8518518518518518E-4</v>
      </c>
      <c r="T91" s="72" t="s">
        <v>342</v>
      </c>
      <c r="U91" s="83">
        <v>2.3148148148148149E-4</v>
      </c>
      <c r="V91" s="208" t="s">
        <v>18</v>
      </c>
      <c r="W91" s="207">
        <v>0</v>
      </c>
      <c r="X91" s="70"/>
      <c r="Y91" s="83"/>
      <c r="Z91" s="70"/>
      <c r="AA91" s="83"/>
      <c r="AB91" s="213" t="s">
        <v>18</v>
      </c>
      <c r="AC91" s="207">
        <v>0</v>
      </c>
      <c r="AD91" s="78"/>
      <c r="AE91" s="83"/>
      <c r="AF91" s="78"/>
      <c r="AG91" s="83"/>
    </row>
    <row r="92" spans="1:33" ht="15.75" hidden="1" customHeight="1" outlineLevel="2">
      <c r="A92" s="1" t="s">
        <v>154</v>
      </c>
      <c r="B92" s="72" t="s">
        <v>343</v>
      </c>
      <c r="C92" s="19">
        <v>1.6203703703703703E-4</v>
      </c>
      <c r="D92" s="70" t="s">
        <v>344</v>
      </c>
      <c r="E92" s="19">
        <v>1.5046296296296297E-4</v>
      </c>
      <c r="F92" s="70" t="s">
        <v>345</v>
      </c>
      <c r="G92" s="19">
        <v>2.199074074074074E-4</v>
      </c>
      <c r="H92" s="208" t="s">
        <v>18</v>
      </c>
      <c r="I92" s="235"/>
      <c r="J92" s="244" t="s">
        <v>18</v>
      </c>
      <c r="K92" s="235"/>
      <c r="L92" s="244" t="s">
        <v>18</v>
      </c>
      <c r="M92" s="235"/>
      <c r="N92" s="244" t="s">
        <v>18</v>
      </c>
      <c r="O92" s="235"/>
      <c r="P92" s="247"/>
      <c r="Q92" s="235"/>
      <c r="R92" s="72" t="s">
        <v>346</v>
      </c>
      <c r="S92" s="19">
        <v>1.7361111111111112E-4</v>
      </c>
      <c r="T92" s="72" t="s">
        <v>347</v>
      </c>
      <c r="U92" s="83">
        <v>1.9675925925925926E-4</v>
      </c>
      <c r="V92" s="247"/>
      <c r="W92" s="235"/>
      <c r="X92" s="70"/>
      <c r="Y92" s="83"/>
      <c r="Z92" s="70"/>
      <c r="AA92" s="83"/>
      <c r="AB92" s="247"/>
      <c r="AC92" s="235"/>
      <c r="AD92" s="78"/>
      <c r="AE92" s="83"/>
      <c r="AF92" s="78"/>
      <c r="AG92" s="83"/>
    </row>
    <row r="93" spans="1:33" ht="15.75" hidden="1" customHeight="1" outlineLevel="1" collapsed="1">
      <c r="A93" s="81" t="s">
        <v>348</v>
      </c>
      <c r="B93" s="212">
        <f>SUM(C94:C95)</f>
        <v>9.2592592592592602E-5</v>
      </c>
      <c r="C93" s="235"/>
      <c r="D93" s="192">
        <f>SUM(E94:E95)</f>
        <v>0</v>
      </c>
      <c r="E93" s="235"/>
      <c r="F93" s="192">
        <f>SUM(G94:G95)</f>
        <v>9.2592592592592588E-5</v>
      </c>
      <c r="G93" s="235"/>
      <c r="H93" s="203">
        <f>SUM(I94:I95)</f>
        <v>1.3888888888888889E-4</v>
      </c>
      <c r="I93" s="235"/>
      <c r="J93" s="192">
        <v>0</v>
      </c>
      <c r="K93" s="235"/>
      <c r="L93" s="192">
        <f>SUM(M94:M95)</f>
        <v>0</v>
      </c>
      <c r="M93" s="235"/>
      <c r="N93" s="192">
        <f>SUM(O94,O95)</f>
        <v>3.7037037037037035E-4</v>
      </c>
      <c r="O93" s="235"/>
      <c r="P93" s="72" t="s">
        <v>349</v>
      </c>
      <c r="Q93" s="73">
        <v>2.199074074074074E-4</v>
      </c>
      <c r="R93" s="70" t="s">
        <v>350</v>
      </c>
      <c r="S93" s="73">
        <v>6.9444444444444444E-5</v>
      </c>
      <c r="T93" s="70" t="s">
        <v>351</v>
      </c>
      <c r="U93" s="95">
        <v>1.1574074074074075E-4</v>
      </c>
      <c r="V93" s="70"/>
      <c r="W93" s="83"/>
      <c r="X93" s="70"/>
      <c r="Y93" s="83"/>
      <c r="Z93" s="70"/>
      <c r="AA93" s="83"/>
      <c r="AB93" s="78"/>
      <c r="AC93" s="83"/>
      <c r="AD93" s="78"/>
      <c r="AE93" s="83"/>
      <c r="AF93" s="78"/>
      <c r="AG93" s="83"/>
    </row>
    <row r="94" spans="1:33" ht="15.75" hidden="1" customHeight="1" outlineLevel="2">
      <c r="A94" s="1" t="s">
        <v>151</v>
      </c>
      <c r="B94" s="72" t="s">
        <v>352</v>
      </c>
      <c r="C94" s="19">
        <v>5.7870370370370373E-5</v>
      </c>
      <c r="D94" s="70" t="s">
        <v>18</v>
      </c>
      <c r="E94" s="73">
        <v>0</v>
      </c>
      <c r="F94" s="70" t="s">
        <v>18</v>
      </c>
      <c r="G94" s="19">
        <v>0</v>
      </c>
      <c r="H94" s="72" t="s">
        <v>353</v>
      </c>
      <c r="I94" s="82">
        <v>1.3888888888888889E-4</v>
      </c>
      <c r="J94" s="1" t="s">
        <v>18</v>
      </c>
      <c r="K94" s="71">
        <v>0</v>
      </c>
      <c r="L94" s="70"/>
      <c r="M94" s="88"/>
      <c r="N94" s="68">
        <v>0</v>
      </c>
      <c r="O94" s="19">
        <v>0</v>
      </c>
      <c r="P94" s="208" t="s">
        <v>18</v>
      </c>
      <c r="Q94" s="207">
        <v>0</v>
      </c>
      <c r="R94" s="244" t="s">
        <v>18</v>
      </c>
      <c r="S94" s="207">
        <v>0</v>
      </c>
      <c r="T94" s="245" t="s">
        <v>18</v>
      </c>
      <c r="U94" s="207">
        <v>0</v>
      </c>
      <c r="V94" s="208" t="s">
        <v>18</v>
      </c>
      <c r="W94" s="207">
        <v>0</v>
      </c>
      <c r="X94" s="244" t="s">
        <v>18</v>
      </c>
      <c r="Y94" s="207">
        <v>0</v>
      </c>
      <c r="Z94" s="245" t="s">
        <v>18</v>
      </c>
      <c r="AA94" s="207">
        <v>0</v>
      </c>
      <c r="AB94" s="213" t="s">
        <v>18</v>
      </c>
      <c r="AC94" s="207">
        <v>0</v>
      </c>
      <c r="AD94" s="245" t="s">
        <v>18</v>
      </c>
      <c r="AE94" s="207">
        <v>0</v>
      </c>
      <c r="AF94" s="245" t="s">
        <v>18</v>
      </c>
      <c r="AG94" s="207">
        <v>0</v>
      </c>
    </row>
    <row r="95" spans="1:33" ht="15.75" hidden="1" customHeight="1" outlineLevel="2">
      <c r="A95" s="1" t="s">
        <v>153</v>
      </c>
      <c r="B95" s="72" t="s">
        <v>354</v>
      </c>
      <c r="C95" s="19">
        <v>3.4722222222222222E-5</v>
      </c>
      <c r="D95" s="70" t="s">
        <v>18</v>
      </c>
      <c r="E95" s="73">
        <v>0</v>
      </c>
      <c r="F95" s="70" t="s">
        <v>355</v>
      </c>
      <c r="G95" s="19">
        <v>9.2592592592592588E-5</v>
      </c>
      <c r="H95" s="72" t="s">
        <v>18</v>
      </c>
      <c r="I95" s="82">
        <v>0</v>
      </c>
      <c r="J95" s="1" t="s">
        <v>18</v>
      </c>
      <c r="K95" s="71">
        <v>0</v>
      </c>
      <c r="L95" s="70" t="s">
        <v>18</v>
      </c>
      <c r="M95" s="71">
        <v>0</v>
      </c>
      <c r="N95" s="70" t="s">
        <v>356</v>
      </c>
      <c r="O95" s="19">
        <v>3.7037037037037035E-4</v>
      </c>
      <c r="P95" s="247"/>
      <c r="Q95" s="235"/>
      <c r="R95" s="247"/>
      <c r="S95" s="235"/>
      <c r="T95" s="247"/>
      <c r="U95" s="235"/>
      <c r="V95" s="247"/>
      <c r="W95" s="235"/>
      <c r="X95" s="247"/>
      <c r="Y95" s="235"/>
      <c r="Z95" s="247"/>
      <c r="AA95" s="235"/>
      <c r="AB95" s="247"/>
      <c r="AC95" s="235"/>
      <c r="AD95" s="247"/>
      <c r="AE95" s="235"/>
      <c r="AF95" s="247"/>
      <c r="AG95" s="235"/>
    </row>
    <row r="96" spans="1:33" ht="15.75" customHeight="1">
      <c r="A96" s="243"/>
      <c r="B96" s="234"/>
      <c r="C96" s="234"/>
      <c r="D96" s="234"/>
      <c r="E96" s="234"/>
      <c r="F96" s="234"/>
      <c r="G96" s="234"/>
      <c r="H96" s="234"/>
      <c r="I96" s="234"/>
      <c r="J96" s="234"/>
      <c r="K96" s="234"/>
      <c r="L96" s="234"/>
      <c r="M96" s="234"/>
      <c r="N96" s="234"/>
      <c r="O96" s="234"/>
    </row>
    <row r="97" spans="1:33" ht="15.75" customHeight="1" collapsed="1">
      <c r="A97" s="97" t="s">
        <v>357</v>
      </c>
      <c r="B97" s="215">
        <f>SUM(B98:C103)</f>
        <v>6.7129629629629635E-4</v>
      </c>
      <c r="C97" s="235"/>
      <c r="D97" s="215">
        <f>SUM(D98:E103)</f>
        <v>4.3981481481481481E-4</v>
      </c>
      <c r="E97" s="235"/>
      <c r="F97" s="215">
        <f>SUM(F98,F103)</f>
        <v>2.5462962962962961E-4</v>
      </c>
      <c r="G97" s="235"/>
      <c r="H97" s="215">
        <f>SUM(H98,H103)</f>
        <v>1.1574074074074075E-4</v>
      </c>
      <c r="I97" s="235"/>
      <c r="J97" s="215">
        <f>SUM(J98,J103)</f>
        <v>1.7361111111111112E-4</v>
      </c>
      <c r="K97" s="235"/>
      <c r="L97" s="215">
        <f>SUM(L98,L103)</f>
        <v>1.5046296296296297E-4</v>
      </c>
      <c r="M97" s="235"/>
      <c r="N97" s="215">
        <f>SUM(N98,N103)</f>
        <v>3.8194444444444446E-4</v>
      </c>
      <c r="O97" s="235"/>
      <c r="P97" s="215">
        <f>SUM(P98,P103)</f>
        <v>2.5462962962962961E-4</v>
      </c>
      <c r="Q97" s="235"/>
      <c r="R97" s="215">
        <f>SUM(R98,R103)</f>
        <v>3.4722222222222224E-4</v>
      </c>
      <c r="S97" s="235"/>
      <c r="T97" s="215">
        <f>SUM(T98,T103)</f>
        <v>2.7777777777777778E-4</v>
      </c>
      <c r="U97" s="235"/>
      <c r="V97" s="215">
        <f>SUM(V98,V103)</f>
        <v>0</v>
      </c>
      <c r="W97" s="235"/>
      <c r="X97" s="215">
        <f>SUM(X98,X103)</f>
        <v>0</v>
      </c>
      <c r="Y97" s="235"/>
      <c r="Z97" s="215">
        <f>SUM(Z98,Z103)</f>
        <v>0</v>
      </c>
      <c r="AA97" s="235"/>
      <c r="AB97" s="215">
        <f>SUM(AB98,AB103)</f>
        <v>0</v>
      </c>
      <c r="AC97" s="235"/>
      <c r="AD97" s="215">
        <f>SUM(AD98,AD103)</f>
        <v>0</v>
      </c>
      <c r="AE97" s="235"/>
      <c r="AF97" s="215">
        <f>SUM(AF98,AF103)</f>
        <v>0</v>
      </c>
      <c r="AG97" s="235"/>
    </row>
    <row r="98" spans="1:33" ht="15.75" hidden="1" customHeight="1" outlineLevel="1">
      <c r="A98" s="81" t="s">
        <v>358</v>
      </c>
      <c r="B98" s="212">
        <f>SUM(C99:C102)</f>
        <v>3.0092592592592595E-4</v>
      </c>
      <c r="C98" s="235"/>
      <c r="D98" s="192">
        <f>SUM(E99:E100)</f>
        <v>1.9675925925925926E-4</v>
      </c>
      <c r="E98" s="235"/>
      <c r="F98" s="192">
        <f>SUM(G99:G100)</f>
        <v>1.9675925925925926E-4</v>
      </c>
      <c r="G98" s="235"/>
      <c r="H98" s="192">
        <f>SUM(I99:I100)</f>
        <v>6.9444444444444444E-5</v>
      </c>
      <c r="I98" s="235"/>
      <c r="J98" s="192">
        <f>SUM(K99:K100)</f>
        <v>1.1574074074074075E-4</v>
      </c>
      <c r="K98" s="235"/>
      <c r="L98" s="192">
        <f>SUM(M99:M100)</f>
        <v>1.0416666666666667E-4</v>
      </c>
      <c r="M98" s="235"/>
      <c r="N98" s="192">
        <f>SUM(O99:O100)</f>
        <v>3.1250000000000001E-4</v>
      </c>
      <c r="O98" s="235"/>
      <c r="P98" s="203">
        <f>SUM(Q99:Q100)</f>
        <v>1.8518518518518518E-4</v>
      </c>
      <c r="Q98" s="235"/>
      <c r="R98" s="192">
        <f>SUM(S99:S102)</f>
        <v>2.7777777777777778E-4</v>
      </c>
      <c r="S98" s="235"/>
      <c r="T98" s="192">
        <f>SUM(U99:U100)</f>
        <v>2.0833333333333332E-4</v>
      </c>
      <c r="U98" s="235"/>
      <c r="V98" s="203">
        <f>SUM(W99:W100)</f>
        <v>0</v>
      </c>
      <c r="W98" s="235"/>
      <c r="X98" s="192">
        <f>SUM(Y99:Y102)</f>
        <v>0</v>
      </c>
      <c r="Y98" s="235"/>
      <c r="Z98" s="192">
        <f>SUM(AA99:AA100)</f>
        <v>0</v>
      </c>
      <c r="AA98" s="235"/>
      <c r="AB98" s="203">
        <f>SUM(AC99:AC100)</f>
        <v>0</v>
      </c>
      <c r="AC98" s="235"/>
      <c r="AD98" s="192">
        <f>SUM(AE99:AE102)</f>
        <v>0</v>
      </c>
      <c r="AE98" s="235"/>
      <c r="AF98" s="192">
        <f>SUM(AG99:AG100)</f>
        <v>0</v>
      </c>
      <c r="AG98" s="235"/>
    </row>
    <row r="99" spans="1:33" ht="15.75" hidden="1" customHeight="1" outlineLevel="2">
      <c r="A99" s="1" t="s">
        <v>132</v>
      </c>
      <c r="B99" s="70" t="s">
        <v>359</v>
      </c>
      <c r="C99" s="19">
        <v>1.0416666666666667E-4</v>
      </c>
      <c r="D99" s="70" t="s">
        <v>360</v>
      </c>
      <c r="E99" s="19">
        <v>1.1574074074074075E-4</v>
      </c>
      <c r="F99" s="70" t="s">
        <v>361</v>
      </c>
      <c r="G99" s="19">
        <v>1.273148148148148E-4</v>
      </c>
      <c r="H99" s="70" t="s">
        <v>362</v>
      </c>
      <c r="I99" s="19">
        <v>6.9444444444444444E-5</v>
      </c>
      <c r="J99" s="1" t="s">
        <v>363</v>
      </c>
      <c r="K99" s="71">
        <v>1.1574074074074075E-4</v>
      </c>
      <c r="L99" s="70" t="s">
        <v>364</v>
      </c>
      <c r="M99" s="71">
        <v>1.0416666666666667E-4</v>
      </c>
      <c r="N99" s="70" t="s">
        <v>365</v>
      </c>
      <c r="O99" s="19">
        <v>1.3888888888888889E-4</v>
      </c>
      <c r="P99" s="72" t="s">
        <v>366</v>
      </c>
      <c r="Q99" s="82">
        <v>9.2592592592592588E-5</v>
      </c>
      <c r="R99" s="70" t="s">
        <v>367</v>
      </c>
      <c r="S99" s="19">
        <v>1.273148148148148E-4</v>
      </c>
      <c r="T99" s="70" t="s">
        <v>368</v>
      </c>
      <c r="U99" s="83">
        <v>1.3888888888888889E-4</v>
      </c>
      <c r="V99" s="70"/>
      <c r="W99" s="83"/>
      <c r="X99" s="70"/>
      <c r="Y99" s="83"/>
      <c r="Z99" s="70"/>
      <c r="AA99" s="83"/>
      <c r="AB99" s="78"/>
      <c r="AC99" s="83"/>
      <c r="AD99" s="78"/>
      <c r="AE99" s="83"/>
      <c r="AF99" s="78"/>
      <c r="AG99" s="83"/>
    </row>
    <row r="100" spans="1:33" ht="15.75" hidden="1" customHeight="1" outlineLevel="2">
      <c r="A100" s="1" t="s">
        <v>174</v>
      </c>
      <c r="B100" s="70" t="s">
        <v>369</v>
      </c>
      <c r="C100" s="19">
        <v>2.3148148148148147E-5</v>
      </c>
      <c r="D100" s="70" t="s">
        <v>370</v>
      </c>
      <c r="E100" s="19">
        <v>8.1018518518518516E-5</v>
      </c>
      <c r="F100" s="70" t="s">
        <v>371</v>
      </c>
      <c r="G100" s="19">
        <v>6.9444444444444444E-5</v>
      </c>
      <c r="H100" s="70" t="s">
        <v>18</v>
      </c>
      <c r="I100" s="19">
        <v>0</v>
      </c>
      <c r="J100" s="1" t="s">
        <v>18</v>
      </c>
      <c r="K100" s="71">
        <v>0</v>
      </c>
      <c r="L100" s="70" t="s">
        <v>18</v>
      </c>
      <c r="M100" s="71">
        <v>0</v>
      </c>
      <c r="N100" s="70" t="s">
        <v>372</v>
      </c>
      <c r="O100" s="19">
        <v>1.7361111111111112E-4</v>
      </c>
      <c r="P100" s="72" t="s">
        <v>373</v>
      </c>
      <c r="Q100" s="82">
        <v>9.2592592592592588E-5</v>
      </c>
      <c r="R100" s="70" t="s">
        <v>374</v>
      </c>
      <c r="S100" s="19">
        <v>1.5046296296296297E-4</v>
      </c>
      <c r="T100" s="70" t="s">
        <v>375</v>
      </c>
      <c r="U100" s="83">
        <v>6.9444444444444444E-5</v>
      </c>
      <c r="V100" s="70"/>
      <c r="W100" s="83"/>
      <c r="X100" s="70"/>
      <c r="Y100" s="83"/>
      <c r="Z100" s="70"/>
      <c r="AA100" s="83"/>
      <c r="AB100" s="78"/>
      <c r="AC100" s="83"/>
      <c r="AD100" s="78"/>
      <c r="AE100" s="83"/>
      <c r="AF100" s="78"/>
      <c r="AG100" s="83"/>
    </row>
    <row r="101" spans="1:33" ht="15.75" hidden="1" customHeight="1" outlineLevel="2">
      <c r="A101" s="1" t="s">
        <v>376</v>
      </c>
      <c r="B101" s="70" t="s">
        <v>337</v>
      </c>
      <c r="C101" s="69" t="s">
        <v>18</v>
      </c>
      <c r="D101" s="70" t="s">
        <v>152</v>
      </c>
      <c r="E101" s="69" t="s">
        <v>18</v>
      </c>
      <c r="F101" s="70" t="s">
        <v>152</v>
      </c>
      <c r="G101" s="69" t="s">
        <v>18</v>
      </c>
      <c r="H101" s="244" t="s">
        <v>18</v>
      </c>
      <c r="I101" s="235"/>
      <c r="J101" s="245" t="s">
        <v>18</v>
      </c>
      <c r="K101" s="234"/>
      <c r="L101" s="244" t="s">
        <v>18</v>
      </c>
      <c r="M101" s="234"/>
      <c r="N101" s="70" t="s">
        <v>18</v>
      </c>
      <c r="O101" s="98">
        <v>0</v>
      </c>
      <c r="P101" s="208" t="s">
        <v>18</v>
      </c>
      <c r="Q101" s="206">
        <v>0</v>
      </c>
      <c r="R101" s="244" t="s">
        <v>18</v>
      </c>
      <c r="S101" s="207">
        <v>0</v>
      </c>
      <c r="T101" s="244" t="s">
        <v>18</v>
      </c>
      <c r="U101" s="207">
        <v>0</v>
      </c>
      <c r="V101" s="208" t="s">
        <v>18</v>
      </c>
      <c r="W101" s="206">
        <v>0</v>
      </c>
      <c r="X101" s="244" t="s">
        <v>18</v>
      </c>
      <c r="Y101" s="207">
        <v>0</v>
      </c>
      <c r="Z101" s="244" t="s">
        <v>18</v>
      </c>
      <c r="AA101" s="207">
        <v>0</v>
      </c>
      <c r="AB101" s="213" t="s">
        <v>18</v>
      </c>
      <c r="AC101" s="206">
        <v>0</v>
      </c>
      <c r="AD101" s="245" t="s">
        <v>18</v>
      </c>
      <c r="AE101" s="207">
        <v>0</v>
      </c>
      <c r="AF101" s="245" t="s">
        <v>18</v>
      </c>
      <c r="AG101" s="207">
        <v>0</v>
      </c>
    </row>
    <row r="102" spans="1:33" ht="15.75" hidden="1" customHeight="1" outlineLevel="2">
      <c r="A102" s="1" t="s">
        <v>377</v>
      </c>
      <c r="B102" s="70" t="s">
        <v>378</v>
      </c>
      <c r="C102" s="19">
        <v>1.7361111111111112E-4</v>
      </c>
      <c r="D102" s="70" t="s">
        <v>155</v>
      </c>
      <c r="E102" s="69" t="s">
        <v>18</v>
      </c>
      <c r="F102" s="70" t="s">
        <v>155</v>
      </c>
      <c r="G102" s="69" t="s">
        <v>18</v>
      </c>
      <c r="H102" s="244" t="s">
        <v>18</v>
      </c>
      <c r="I102" s="235"/>
      <c r="J102" s="245" t="s">
        <v>18</v>
      </c>
      <c r="K102" s="234"/>
      <c r="L102" s="244" t="s">
        <v>18</v>
      </c>
      <c r="M102" s="234"/>
      <c r="N102" s="70" t="s">
        <v>175</v>
      </c>
      <c r="O102" s="98">
        <v>0</v>
      </c>
      <c r="P102" s="247"/>
      <c r="Q102" s="235"/>
      <c r="R102" s="247"/>
      <c r="S102" s="235"/>
      <c r="T102" s="247"/>
      <c r="U102" s="235"/>
      <c r="V102" s="247"/>
      <c r="W102" s="235"/>
      <c r="X102" s="247"/>
      <c r="Y102" s="235"/>
      <c r="Z102" s="247"/>
      <c r="AA102" s="235"/>
      <c r="AB102" s="247"/>
      <c r="AC102" s="235"/>
      <c r="AD102" s="247"/>
      <c r="AE102" s="235"/>
      <c r="AF102" s="247"/>
      <c r="AG102" s="235"/>
    </row>
    <row r="103" spans="1:33" ht="15.75" hidden="1" customHeight="1" outlineLevel="1">
      <c r="A103" s="81" t="s">
        <v>379</v>
      </c>
      <c r="B103" s="202">
        <f>SUM(C104:C106)</f>
        <v>6.9444444444444444E-5</v>
      </c>
      <c r="C103" s="235"/>
      <c r="D103" s="192">
        <f>SUM(E104:E106)</f>
        <v>4.6296296296296294E-5</v>
      </c>
      <c r="E103" s="235"/>
      <c r="F103" s="192">
        <f>SUM(G104:G106)</f>
        <v>5.7870370370370366E-5</v>
      </c>
      <c r="G103" s="235"/>
      <c r="H103" s="192">
        <f>SUM(I104:I106)</f>
        <v>4.6296296296296294E-5</v>
      </c>
      <c r="I103" s="235"/>
      <c r="J103" s="192">
        <f>SUM(K104:K106)</f>
        <v>5.7870370370370366E-5</v>
      </c>
      <c r="K103" s="235"/>
      <c r="L103" s="192">
        <f>SUM(M104:M106)</f>
        <v>4.6296296296296294E-5</v>
      </c>
      <c r="M103" s="235"/>
      <c r="N103" s="192">
        <f>SUM(O104:O106)</f>
        <v>6.9444444444444444E-5</v>
      </c>
      <c r="O103" s="235"/>
      <c r="P103" s="203">
        <f>SUM(Q104:Q106)</f>
        <v>6.9444444444444444E-5</v>
      </c>
      <c r="Q103" s="235"/>
      <c r="R103" s="192">
        <f>SUM(S104:S106)</f>
        <v>6.9444444444444444E-5</v>
      </c>
      <c r="S103" s="235"/>
      <c r="T103" s="192">
        <f>SUM(U104:U106)</f>
        <v>6.9444444444444444E-5</v>
      </c>
      <c r="U103" s="235"/>
      <c r="V103" s="203">
        <f>SUM(W104:W106)</f>
        <v>0</v>
      </c>
      <c r="W103" s="235"/>
      <c r="X103" s="192">
        <f>SUM(Y104:Y106)</f>
        <v>0</v>
      </c>
      <c r="Y103" s="235"/>
      <c r="Z103" s="192">
        <f>SUM(AA104:AA106)</f>
        <v>0</v>
      </c>
      <c r="AA103" s="235"/>
      <c r="AB103" s="203">
        <f>SUM(AC104:AC106)</f>
        <v>0</v>
      </c>
      <c r="AC103" s="235"/>
      <c r="AD103" s="192">
        <f>SUM(AE104:AE106)</f>
        <v>0</v>
      </c>
      <c r="AE103" s="235"/>
      <c r="AF103" s="192">
        <f>SUM(AG104:AG106)</f>
        <v>0</v>
      </c>
      <c r="AG103" s="235"/>
    </row>
    <row r="104" spans="1:33" ht="15.75" hidden="1" customHeight="1" outlineLevel="2">
      <c r="A104" s="1" t="s">
        <v>380</v>
      </c>
      <c r="B104" s="70" t="s">
        <v>381</v>
      </c>
      <c r="C104" s="19">
        <v>1.1574074074074073E-5</v>
      </c>
      <c r="D104" s="70" t="s">
        <v>382</v>
      </c>
      <c r="E104" s="19">
        <v>1.1574074074074073E-5</v>
      </c>
      <c r="F104" s="70" t="s">
        <v>383</v>
      </c>
      <c r="G104" s="19">
        <v>1.1574074074074073E-5</v>
      </c>
      <c r="H104" s="70" t="s">
        <v>384</v>
      </c>
      <c r="I104" s="19">
        <v>1.1574074074074073E-5</v>
      </c>
      <c r="J104" s="1" t="s">
        <v>385</v>
      </c>
      <c r="K104" s="71">
        <v>1.1574074074074073E-5</v>
      </c>
      <c r="L104" s="70" t="s">
        <v>386</v>
      </c>
      <c r="M104" s="71">
        <v>1.1574074074074073E-5</v>
      </c>
      <c r="N104" s="70" t="s">
        <v>387</v>
      </c>
      <c r="O104" s="19">
        <v>1.1574074074074073E-5</v>
      </c>
      <c r="P104" s="72" t="s">
        <v>388</v>
      </c>
      <c r="Q104" s="82">
        <v>1.1574074074074073E-5</v>
      </c>
      <c r="R104" s="70" t="s">
        <v>389</v>
      </c>
      <c r="S104" s="19">
        <v>1.1574074074074073E-5</v>
      </c>
      <c r="T104" s="70" t="s">
        <v>383</v>
      </c>
      <c r="U104" s="83">
        <v>1.1574074074074073E-5</v>
      </c>
      <c r="V104" s="70"/>
      <c r="W104" s="83"/>
      <c r="X104" s="70"/>
      <c r="Y104" s="83"/>
      <c r="Z104" s="70"/>
      <c r="AA104" s="83"/>
      <c r="AB104" s="78"/>
      <c r="AC104" s="83"/>
      <c r="AD104" s="78"/>
      <c r="AE104" s="83"/>
      <c r="AF104" s="78"/>
      <c r="AG104" s="83"/>
    </row>
    <row r="105" spans="1:33" ht="15.75" hidden="1" customHeight="1" outlineLevel="2">
      <c r="A105" s="1" t="s">
        <v>390</v>
      </c>
      <c r="B105" s="70" t="s">
        <v>391</v>
      </c>
      <c r="C105" s="19">
        <v>4.6296296296296294E-5</v>
      </c>
      <c r="D105" s="70" t="s">
        <v>392</v>
      </c>
      <c r="E105" s="19">
        <v>2.3148148148148147E-5</v>
      </c>
      <c r="F105" s="70" t="s">
        <v>393</v>
      </c>
      <c r="G105" s="19">
        <v>3.4722222222222222E-5</v>
      </c>
      <c r="H105" s="70" t="s">
        <v>394</v>
      </c>
      <c r="I105" s="19">
        <v>1.1574074074074073E-5</v>
      </c>
      <c r="J105" s="1" t="s">
        <v>395</v>
      </c>
      <c r="K105" s="71">
        <v>3.4722222222222222E-5</v>
      </c>
      <c r="L105" s="70" t="s">
        <v>396</v>
      </c>
      <c r="M105" s="71">
        <v>2.3148148148148147E-5</v>
      </c>
      <c r="N105" s="70" t="s">
        <v>397</v>
      </c>
      <c r="O105" s="19">
        <v>3.4722222222222222E-5</v>
      </c>
      <c r="P105" s="72" t="s">
        <v>398</v>
      </c>
      <c r="Q105" s="82">
        <v>4.6296296296296294E-5</v>
      </c>
      <c r="R105" s="70" t="s">
        <v>399</v>
      </c>
      <c r="S105" s="19">
        <v>3.4722222222222222E-5</v>
      </c>
      <c r="T105" s="70" t="s">
        <v>393</v>
      </c>
      <c r="U105" s="83">
        <v>3.4722222222222222E-5</v>
      </c>
      <c r="V105" s="70"/>
      <c r="W105" s="83"/>
      <c r="X105" s="70"/>
      <c r="Y105" s="83"/>
      <c r="Z105" s="70"/>
      <c r="AA105" s="83"/>
      <c r="AB105" s="78"/>
      <c r="AC105" s="83"/>
      <c r="AD105" s="78"/>
      <c r="AE105" s="83"/>
      <c r="AF105" s="78"/>
      <c r="AG105" s="83"/>
    </row>
    <row r="106" spans="1:33" ht="15.75" hidden="1" customHeight="1" outlineLevel="2">
      <c r="A106" s="1" t="s">
        <v>400</v>
      </c>
      <c r="B106" s="70" t="s">
        <v>401</v>
      </c>
      <c r="C106" s="19">
        <v>1.1574074074074073E-5</v>
      </c>
      <c r="D106" s="70" t="s">
        <v>402</v>
      </c>
      <c r="E106" s="19">
        <v>1.1574074074074073E-5</v>
      </c>
      <c r="F106" s="70" t="s">
        <v>403</v>
      </c>
      <c r="G106" s="19">
        <v>1.1574074074074073E-5</v>
      </c>
      <c r="H106" s="70" t="s">
        <v>404</v>
      </c>
      <c r="I106" s="19">
        <v>2.3148148148148147E-5</v>
      </c>
      <c r="J106" s="1" t="s">
        <v>405</v>
      </c>
      <c r="K106" s="71">
        <v>1.1574074074074073E-5</v>
      </c>
      <c r="L106" s="70" t="s">
        <v>406</v>
      </c>
      <c r="M106" s="71">
        <v>1.1574074074074073E-5</v>
      </c>
      <c r="N106" s="70" t="s">
        <v>407</v>
      </c>
      <c r="O106" s="19">
        <v>2.3148148148148147E-5</v>
      </c>
      <c r="P106" s="72" t="s">
        <v>408</v>
      </c>
      <c r="Q106" s="82">
        <v>1.1574074074074073E-5</v>
      </c>
      <c r="R106" s="70" t="s">
        <v>409</v>
      </c>
      <c r="S106" s="19">
        <v>2.3148148148148147E-5</v>
      </c>
      <c r="T106" s="70" t="s">
        <v>410</v>
      </c>
      <c r="U106" s="83">
        <v>2.3148148148148147E-5</v>
      </c>
      <c r="V106" s="70"/>
      <c r="W106" s="83"/>
      <c r="X106" s="70"/>
      <c r="Y106" s="83"/>
      <c r="Z106" s="70"/>
      <c r="AA106" s="83"/>
      <c r="AB106" s="78"/>
      <c r="AC106" s="83"/>
      <c r="AD106" s="78"/>
      <c r="AE106" s="83"/>
      <c r="AF106" s="78"/>
      <c r="AG106" s="83"/>
    </row>
    <row r="107" spans="1:33" ht="15.75" customHeight="1">
      <c r="A107" s="243"/>
      <c r="B107" s="234"/>
      <c r="C107" s="234"/>
      <c r="D107" s="234"/>
      <c r="E107" s="234"/>
      <c r="F107" s="234"/>
      <c r="G107" s="234"/>
      <c r="H107" s="234"/>
      <c r="I107" s="234"/>
      <c r="J107" s="234"/>
      <c r="K107" s="234"/>
      <c r="L107" s="234"/>
      <c r="M107" s="234"/>
      <c r="N107" s="234"/>
      <c r="O107" s="234"/>
    </row>
    <row r="108" spans="1:33" ht="15.75" customHeight="1" collapsed="1">
      <c r="A108" s="99" t="s">
        <v>411</v>
      </c>
      <c r="B108" s="224">
        <f>SUM(B109,C114,B115)</f>
        <v>7.8703703703703705E-4</v>
      </c>
      <c r="C108" s="235"/>
      <c r="D108" s="224">
        <f>SUM(D109,E114,E115)</f>
        <v>1.5046296296296297E-4</v>
      </c>
      <c r="E108" s="235"/>
      <c r="F108" s="224">
        <f>SUM(F109,G114,F115)</f>
        <v>2.7777777777777778E-4</v>
      </c>
      <c r="G108" s="235"/>
      <c r="H108" s="224">
        <f>SUM(H109,I114,H115)</f>
        <v>5.7870370370370373E-5</v>
      </c>
      <c r="I108" s="235"/>
      <c r="J108" s="224">
        <f>SUM(J109,K114,J115)</f>
        <v>8.1018518518518516E-5</v>
      </c>
      <c r="K108" s="235"/>
      <c r="L108" s="224">
        <f>SUM(L109,M114,L115)</f>
        <v>1.6203703703703703E-4</v>
      </c>
      <c r="M108" s="235"/>
      <c r="N108" s="224">
        <f>SUM(N109,O114,N115)</f>
        <v>2.0833333333333332E-4</v>
      </c>
      <c r="O108" s="235"/>
      <c r="P108" s="224">
        <f>SUM(P109,Q114,P115)</f>
        <v>1.6203703703703703E-4</v>
      </c>
      <c r="Q108" s="235"/>
      <c r="R108" s="224">
        <f>SUM(R109,S114,R115)</f>
        <v>1.7361111111111112E-4</v>
      </c>
      <c r="S108" s="235"/>
      <c r="T108" s="224">
        <f>SUM(T109,U114,T115)</f>
        <v>1.3888888888888889E-4</v>
      </c>
      <c r="U108" s="235"/>
      <c r="V108" s="224">
        <f>SUM(V109,W114,V115)</f>
        <v>1.3888888888888889E-4</v>
      </c>
      <c r="W108" s="235"/>
      <c r="X108" s="224">
        <f>SUM(X109,Y114,X115)</f>
        <v>0</v>
      </c>
      <c r="Y108" s="235"/>
      <c r="Z108" s="224">
        <f>SUM(Z109,AA114,Z115)</f>
        <v>0</v>
      </c>
      <c r="AA108" s="235"/>
      <c r="AB108" s="224">
        <f>SUM(AB109,AC114,AB115)</f>
        <v>0</v>
      </c>
      <c r="AC108" s="235"/>
      <c r="AD108" s="224">
        <f>SUM(AD109,AE114,AD115)</f>
        <v>0</v>
      </c>
      <c r="AE108" s="235"/>
      <c r="AF108" s="224">
        <f>SUM(AF109,AG114,AF115)</f>
        <v>0</v>
      </c>
      <c r="AG108" s="235"/>
    </row>
    <row r="109" spans="1:33" ht="15.75" hidden="1" customHeight="1" outlineLevel="1">
      <c r="A109" s="81" t="s">
        <v>412</v>
      </c>
      <c r="B109" s="202">
        <f>SUM(C110:C113)</f>
        <v>1.7361111111111112E-4</v>
      </c>
      <c r="C109" s="235"/>
      <c r="D109" s="192">
        <f>SUM(E110:E111)</f>
        <v>1.5046296296296297E-4</v>
      </c>
      <c r="E109" s="235"/>
      <c r="F109" s="192">
        <f>SUM(G110:G111)</f>
        <v>1.5046296296296297E-4</v>
      </c>
      <c r="G109" s="235"/>
      <c r="H109" s="192">
        <f>SUM(I110:I111)</f>
        <v>0</v>
      </c>
      <c r="I109" s="235"/>
      <c r="J109" s="192">
        <f>SUM(K110:K111)</f>
        <v>0</v>
      </c>
      <c r="K109" s="235"/>
      <c r="L109" s="192">
        <f>SUM(M110:M111)</f>
        <v>9.2592592592592588E-5</v>
      </c>
      <c r="M109" s="235"/>
      <c r="N109" s="192">
        <f>SUM(O110:O111)</f>
        <v>2.0833333333333332E-4</v>
      </c>
      <c r="O109" s="235"/>
      <c r="P109" s="203">
        <f>SUM(Q110:Q111)</f>
        <v>1.6203703703703703E-4</v>
      </c>
      <c r="Q109" s="235"/>
      <c r="R109" s="192">
        <f>SUM(S110:S111)</f>
        <v>1.7361111111111112E-4</v>
      </c>
      <c r="S109" s="235"/>
      <c r="T109" s="192">
        <f>SUM(U110:U111)</f>
        <v>1.3888888888888889E-4</v>
      </c>
      <c r="U109" s="235"/>
      <c r="V109" s="203">
        <f>SUM(W110:W111)</f>
        <v>1.3888888888888889E-4</v>
      </c>
      <c r="W109" s="235"/>
      <c r="X109" s="192">
        <f>SUM(Y110:Y111)</f>
        <v>0</v>
      </c>
      <c r="Y109" s="235"/>
      <c r="Z109" s="192">
        <f>SUM(AA110:AA111)</f>
        <v>0</v>
      </c>
      <c r="AA109" s="235"/>
      <c r="AB109" s="203">
        <f>SUM(AC110:AC111)</f>
        <v>0</v>
      </c>
      <c r="AC109" s="235"/>
      <c r="AD109" s="192">
        <f>SUM(AE110:AE111)</f>
        <v>0</v>
      </c>
      <c r="AE109" s="235"/>
      <c r="AF109" s="192">
        <f>SUM(AG110:AG111)</f>
        <v>0</v>
      </c>
      <c r="AG109" s="235"/>
    </row>
    <row r="110" spans="1:33" ht="15.75" hidden="1" customHeight="1" outlineLevel="2">
      <c r="A110" s="1" t="s">
        <v>132</v>
      </c>
      <c r="B110" s="70" t="s">
        <v>413</v>
      </c>
      <c r="C110" s="19">
        <v>6.9444444444444444E-5</v>
      </c>
      <c r="D110" s="70" t="s">
        <v>414</v>
      </c>
      <c r="E110" s="19">
        <v>5.7870370370370373E-5</v>
      </c>
      <c r="F110" s="70" t="s">
        <v>415</v>
      </c>
      <c r="G110" s="19">
        <v>4.6296296296296294E-5</v>
      </c>
      <c r="H110" s="70" t="s">
        <v>18</v>
      </c>
      <c r="I110" s="19">
        <v>0</v>
      </c>
      <c r="J110" s="1"/>
      <c r="K110" s="71">
        <v>0</v>
      </c>
      <c r="L110" s="70" t="s">
        <v>416</v>
      </c>
      <c r="M110" s="71">
        <v>4.6296296296296294E-5</v>
      </c>
      <c r="N110" s="70" t="s">
        <v>417</v>
      </c>
      <c r="O110" s="19">
        <v>6.9444444444444444E-5</v>
      </c>
      <c r="P110" s="72" t="s">
        <v>418</v>
      </c>
      <c r="Q110" s="82">
        <v>9.2592592592592588E-5</v>
      </c>
      <c r="R110" s="70" t="s">
        <v>419</v>
      </c>
      <c r="S110" s="19">
        <v>6.9444444444444444E-5</v>
      </c>
      <c r="T110" s="70" t="s">
        <v>420</v>
      </c>
      <c r="U110" s="83">
        <v>6.9444444444444444E-5</v>
      </c>
      <c r="V110" s="72" t="s">
        <v>421</v>
      </c>
      <c r="W110" s="82">
        <v>5.7870370370370373E-5</v>
      </c>
      <c r="X110" s="70"/>
      <c r="Y110" s="83"/>
      <c r="Z110" s="70"/>
      <c r="AA110" s="83"/>
      <c r="AB110" s="78"/>
      <c r="AC110" s="83"/>
      <c r="AD110" s="78"/>
      <c r="AE110" s="83"/>
      <c r="AF110" s="78"/>
      <c r="AG110" s="83"/>
    </row>
    <row r="111" spans="1:33" ht="15.75" hidden="1" customHeight="1" outlineLevel="2">
      <c r="A111" s="1" t="s">
        <v>174</v>
      </c>
      <c r="B111" s="70" t="s">
        <v>422</v>
      </c>
      <c r="C111" s="19">
        <v>1.0416666666666667E-4</v>
      </c>
      <c r="D111" s="70" t="s">
        <v>423</v>
      </c>
      <c r="E111" s="19">
        <v>9.2592592592592588E-5</v>
      </c>
      <c r="F111" s="70" t="s">
        <v>424</v>
      </c>
      <c r="G111" s="19">
        <v>1.0416666666666667E-4</v>
      </c>
      <c r="H111" s="70" t="s">
        <v>18</v>
      </c>
      <c r="I111" s="19">
        <v>0</v>
      </c>
      <c r="J111" s="1" t="s">
        <v>18</v>
      </c>
      <c r="K111" s="71">
        <v>0</v>
      </c>
      <c r="L111" s="70" t="s">
        <v>425</v>
      </c>
      <c r="M111" s="71">
        <v>4.6296296296296294E-5</v>
      </c>
      <c r="N111" s="70" t="s">
        <v>426</v>
      </c>
      <c r="O111" s="19">
        <v>1.3888888888888889E-4</v>
      </c>
      <c r="P111" s="72" t="s">
        <v>427</v>
      </c>
      <c r="Q111" s="82">
        <v>6.9444444444444444E-5</v>
      </c>
      <c r="R111" s="70" t="s">
        <v>428</v>
      </c>
      <c r="S111" s="19">
        <v>1.0416666666666667E-4</v>
      </c>
      <c r="T111" s="70" t="s">
        <v>429</v>
      </c>
      <c r="U111" s="83">
        <v>6.9444444444444444E-5</v>
      </c>
      <c r="V111" s="72" t="s">
        <v>430</v>
      </c>
      <c r="W111" s="82">
        <v>8.1018518518518516E-5</v>
      </c>
      <c r="X111" s="70"/>
      <c r="Y111" s="83"/>
      <c r="Z111" s="70"/>
      <c r="AA111" s="83"/>
      <c r="AB111" s="78"/>
      <c r="AC111" s="83"/>
      <c r="AD111" s="78"/>
      <c r="AE111" s="83"/>
      <c r="AF111" s="78"/>
      <c r="AG111" s="83"/>
    </row>
    <row r="112" spans="1:33" ht="15.75" hidden="1" customHeight="1" outlineLevel="2">
      <c r="A112" s="1" t="s">
        <v>431</v>
      </c>
      <c r="B112" s="70" t="s">
        <v>432</v>
      </c>
      <c r="C112" s="69" t="s">
        <v>18</v>
      </c>
      <c r="D112" s="70" t="s">
        <v>152</v>
      </c>
      <c r="E112" s="69" t="s">
        <v>18</v>
      </c>
      <c r="F112" s="70" t="s">
        <v>152</v>
      </c>
      <c r="G112" s="69" t="s">
        <v>18</v>
      </c>
      <c r="H112" s="244" t="s">
        <v>18</v>
      </c>
      <c r="I112" s="235"/>
      <c r="J112" s="244" t="s">
        <v>18</v>
      </c>
      <c r="K112" s="234"/>
      <c r="L112" s="244" t="s">
        <v>175</v>
      </c>
      <c r="M112" s="234"/>
      <c r="N112" s="70" t="s">
        <v>152</v>
      </c>
      <c r="O112" s="98">
        <v>0</v>
      </c>
      <c r="P112" s="208" t="s">
        <v>18</v>
      </c>
      <c r="Q112" s="206">
        <v>0</v>
      </c>
      <c r="R112" s="244" t="s">
        <v>18</v>
      </c>
      <c r="S112" s="207">
        <v>0</v>
      </c>
      <c r="T112" s="244" t="s">
        <v>18</v>
      </c>
      <c r="U112" s="207">
        <v>0</v>
      </c>
      <c r="V112" s="208" t="s">
        <v>18</v>
      </c>
      <c r="W112" s="206">
        <v>0</v>
      </c>
      <c r="X112" s="244" t="s">
        <v>18</v>
      </c>
      <c r="Y112" s="207">
        <v>0</v>
      </c>
      <c r="Z112" s="244" t="s">
        <v>18</v>
      </c>
      <c r="AA112" s="207">
        <v>0</v>
      </c>
      <c r="AB112" s="213" t="s">
        <v>18</v>
      </c>
      <c r="AC112" s="206">
        <v>0</v>
      </c>
      <c r="AD112" s="245" t="s">
        <v>18</v>
      </c>
      <c r="AE112" s="207">
        <v>0</v>
      </c>
      <c r="AF112" s="245" t="s">
        <v>18</v>
      </c>
      <c r="AG112" s="207">
        <v>0</v>
      </c>
    </row>
    <row r="113" spans="1:33" ht="15.75" hidden="1" customHeight="1" outlineLevel="2">
      <c r="A113" s="1" t="s">
        <v>433</v>
      </c>
      <c r="B113" s="100" t="s">
        <v>18</v>
      </c>
      <c r="C113" s="69" t="s">
        <v>18</v>
      </c>
      <c r="D113" s="70" t="s">
        <v>155</v>
      </c>
      <c r="E113" s="69" t="s">
        <v>18</v>
      </c>
      <c r="F113" s="70" t="s">
        <v>155</v>
      </c>
      <c r="G113" s="69" t="s">
        <v>18</v>
      </c>
      <c r="H113" s="244" t="s">
        <v>18</v>
      </c>
      <c r="I113" s="235"/>
      <c r="J113" s="244" t="s">
        <v>18</v>
      </c>
      <c r="K113" s="234"/>
      <c r="L113" s="244" t="s">
        <v>18</v>
      </c>
      <c r="M113" s="234"/>
      <c r="N113" s="70" t="s">
        <v>155</v>
      </c>
      <c r="O113" s="98">
        <v>0</v>
      </c>
      <c r="P113" s="247"/>
      <c r="Q113" s="235"/>
      <c r="R113" s="247"/>
      <c r="S113" s="235"/>
      <c r="T113" s="247"/>
      <c r="U113" s="235"/>
      <c r="V113" s="247"/>
      <c r="W113" s="235"/>
      <c r="X113" s="247"/>
      <c r="Y113" s="235"/>
      <c r="Z113" s="247"/>
      <c r="AA113" s="235"/>
      <c r="AB113" s="247"/>
      <c r="AC113" s="235"/>
      <c r="AD113" s="247"/>
      <c r="AE113" s="235"/>
      <c r="AF113" s="247"/>
      <c r="AG113" s="235"/>
    </row>
    <row r="114" spans="1:33" ht="15.75" hidden="1" customHeight="1" outlineLevel="1">
      <c r="A114" s="81" t="s">
        <v>434</v>
      </c>
      <c r="B114" s="72" t="s">
        <v>435</v>
      </c>
      <c r="C114" s="19">
        <v>4.5138888888888887E-4</v>
      </c>
      <c r="D114" s="70"/>
      <c r="E114" s="73">
        <v>0</v>
      </c>
      <c r="F114" s="70" t="s">
        <v>436</v>
      </c>
      <c r="G114" s="73">
        <v>1.273148148148148E-4</v>
      </c>
      <c r="H114" s="70" t="s">
        <v>18</v>
      </c>
      <c r="I114" s="73">
        <v>0</v>
      </c>
      <c r="J114" s="1" t="s">
        <v>18</v>
      </c>
      <c r="K114" s="74">
        <v>0</v>
      </c>
      <c r="L114" s="100" t="s">
        <v>18</v>
      </c>
      <c r="M114" s="74">
        <v>0</v>
      </c>
      <c r="N114" s="70" t="s">
        <v>18</v>
      </c>
      <c r="O114" s="73">
        <v>0</v>
      </c>
      <c r="P114" s="72" t="s">
        <v>18</v>
      </c>
      <c r="Q114" s="94">
        <v>0</v>
      </c>
      <c r="R114" s="70" t="s">
        <v>18</v>
      </c>
      <c r="S114" s="73">
        <v>0</v>
      </c>
      <c r="T114" s="70" t="s">
        <v>18</v>
      </c>
      <c r="U114" s="19">
        <v>0</v>
      </c>
      <c r="V114" s="72" t="s">
        <v>18</v>
      </c>
      <c r="W114" s="94">
        <v>0</v>
      </c>
      <c r="X114" s="70" t="s">
        <v>18</v>
      </c>
      <c r="Y114" s="73">
        <v>0</v>
      </c>
      <c r="Z114" s="70" t="s">
        <v>18</v>
      </c>
      <c r="AA114" s="73">
        <v>0</v>
      </c>
      <c r="AB114" s="85" t="s">
        <v>18</v>
      </c>
      <c r="AC114" s="94">
        <v>0</v>
      </c>
      <c r="AD114" s="78" t="s">
        <v>18</v>
      </c>
      <c r="AE114" s="73">
        <v>0</v>
      </c>
      <c r="AF114" s="78" t="s">
        <v>18</v>
      </c>
      <c r="AG114" s="73">
        <v>0</v>
      </c>
    </row>
    <row r="115" spans="1:33" ht="15.75" hidden="1" customHeight="1" outlineLevel="1">
      <c r="A115" s="81" t="s">
        <v>437</v>
      </c>
      <c r="B115" s="202">
        <f>SUM(C116:C117)</f>
        <v>1.6203703703703703E-4</v>
      </c>
      <c r="C115" s="235"/>
      <c r="D115" s="192">
        <f>SUM(E116:E117)</f>
        <v>0</v>
      </c>
      <c r="E115" s="235"/>
      <c r="F115" s="192">
        <f>SUM(G116:G117)</f>
        <v>0</v>
      </c>
      <c r="G115" s="235"/>
      <c r="H115" s="192">
        <f>SUM(I116:I117)</f>
        <v>5.7870370370370373E-5</v>
      </c>
      <c r="I115" s="235"/>
      <c r="J115" s="192">
        <f>SUM(K116:K117)</f>
        <v>8.1018518518518516E-5</v>
      </c>
      <c r="K115" s="235"/>
      <c r="L115" s="192">
        <f>SUM(M116:M117)</f>
        <v>6.9444444444444444E-5</v>
      </c>
      <c r="M115" s="235"/>
      <c r="N115" s="192">
        <v>0</v>
      </c>
      <c r="O115" s="235"/>
      <c r="P115" s="203">
        <f>SUM(Q116:Q117)</f>
        <v>0</v>
      </c>
      <c r="Q115" s="235"/>
      <c r="R115" s="192">
        <f>SUM(S116:S117)</f>
        <v>0</v>
      </c>
      <c r="S115" s="235"/>
      <c r="T115" s="192">
        <f>SUM(U116:U117)</f>
        <v>0</v>
      </c>
      <c r="U115" s="235"/>
      <c r="V115" s="203">
        <f>SUM(W116:W117)</f>
        <v>0</v>
      </c>
      <c r="W115" s="235"/>
      <c r="X115" s="192">
        <f>SUM(Y116:Y117)</f>
        <v>0</v>
      </c>
      <c r="Y115" s="235"/>
      <c r="Z115" s="192">
        <f>SUM(AA116:AA117)</f>
        <v>0</v>
      </c>
      <c r="AA115" s="235"/>
      <c r="AB115" s="203">
        <f>SUM(AC116:AC117)</f>
        <v>0</v>
      </c>
      <c r="AC115" s="235"/>
      <c r="AD115" s="192">
        <f>SUM(AE116:AE117)</f>
        <v>0</v>
      </c>
      <c r="AE115" s="235"/>
      <c r="AF115" s="192">
        <f>SUM(AG116:AG117)</f>
        <v>0</v>
      </c>
      <c r="AG115" s="235"/>
    </row>
    <row r="116" spans="1:33" ht="15.75" hidden="1" customHeight="1" outlineLevel="2">
      <c r="A116" s="1" t="s">
        <v>132</v>
      </c>
      <c r="B116" s="70" t="s">
        <v>438</v>
      </c>
      <c r="C116" s="19">
        <v>9.2592592592592588E-5</v>
      </c>
      <c r="D116" s="70" t="s">
        <v>18</v>
      </c>
      <c r="E116" s="19">
        <v>0</v>
      </c>
      <c r="F116" s="70" t="s">
        <v>18</v>
      </c>
      <c r="G116" s="19">
        <v>0</v>
      </c>
      <c r="H116" s="70" t="s">
        <v>439</v>
      </c>
      <c r="I116" s="19">
        <v>5.7870370370370373E-5</v>
      </c>
      <c r="J116" s="1" t="s">
        <v>440</v>
      </c>
      <c r="K116" s="71">
        <v>8.1018518518518516E-5</v>
      </c>
      <c r="L116" s="70" t="s">
        <v>441</v>
      </c>
      <c r="M116" s="71">
        <v>6.9444444444444444E-5</v>
      </c>
      <c r="N116" s="70" t="s">
        <v>18</v>
      </c>
      <c r="O116" s="69" t="s">
        <v>18</v>
      </c>
      <c r="P116" s="72" t="s">
        <v>18</v>
      </c>
      <c r="Q116" s="82">
        <v>0</v>
      </c>
      <c r="R116" s="70" t="s">
        <v>18</v>
      </c>
      <c r="S116" s="19">
        <v>0</v>
      </c>
      <c r="T116" s="248" t="s">
        <v>18</v>
      </c>
      <c r="U116" s="207">
        <v>0</v>
      </c>
      <c r="V116" s="72" t="s">
        <v>18</v>
      </c>
      <c r="W116" s="83"/>
      <c r="X116" s="70" t="s">
        <v>18</v>
      </c>
      <c r="Y116" s="83"/>
      <c r="Z116" s="248" t="s">
        <v>18</v>
      </c>
      <c r="AA116" s="249"/>
      <c r="AB116" s="85" t="s">
        <v>18</v>
      </c>
      <c r="AC116" s="83"/>
      <c r="AD116" s="78" t="s">
        <v>18</v>
      </c>
      <c r="AE116" s="83"/>
      <c r="AF116" s="250" t="s">
        <v>18</v>
      </c>
      <c r="AG116" s="249"/>
    </row>
    <row r="117" spans="1:33" ht="15.75" hidden="1" customHeight="1" outlineLevel="2">
      <c r="A117" s="1" t="s">
        <v>174</v>
      </c>
      <c r="B117" s="70" t="s">
        <v>442</v>
      </c>
      <c r="C117" s="19">
        <v>6.9444444444444444E-5</v>
      </c>
      <c r="D117" s="70" t="s">
        <v>18</v>
      </c>
      <c r="E117" s="19">
        <v>0</v>
      </c>
      <c r="F117" s="70" t="s">
        <v>18</v>
      </c>
      <c r="G117" s="19">
        <v>0</v>
      </c>
      <c r="H117" s="70" t="s">
        <v>18</v>
      </c>
      <c r="I117" s="19">
        <v>0</v>
      </c>
      <c r="J117" s="1" t="s">
        <v>18</v>
      </c>
      <c r="K117" s="71">
        <v>0</v>
      </c>
      <c r="L117" s="70" t="s">
        <v>18</v>
      </c>
      <c r="M117" s="71">
        <v>0</v>
      </c>
      <c r="N117" s="70" t="s">
        <v>18</v>
      </c>
      <c r="O117" s="69" t="s">
        <v>18</v>
      </c>
      <c r="P117" s="72" t="s">
        <v>18</v>
      </c>
      <c r="Q117" s="82">
        <v>0</v>
      </c>
      <c r="R117" s="70" t="s">
        <v>18</v>
      </c>
      <c r="S117" s="19">
        <v>0</v>
      </c>
      <c r="T117" s="247"/>
      <c r="U117" s="235"/>
      <c r="V117" s="72" t="s">
        <v>18</v>
      </c>
      <c r="W117" s="83"/>
      <c r="X117" s="70" t="s">
        <v>18</v>
      </c>
      <c r="Y117" s="83"/>
      <c r="Z117" s="247"/>
      <c r="AA117" s="235"/>
      <c r="AB117" s="85" t="s">
        <v>18</v>
      </c>
      <c r="AC117" s="83"/>
      <c r="AD117" s="78" t="s">
        <v>18</v>
      </c>
      <c r="AE117" s="83"/>
      <c r="AF117" s="247"/>
      <c r="AG117" s="235"/>
    </row>
    <row r="118" spans="1:33" ht="15.75" customHeight="1">
      <c r="A118" s="243"/>
      <c r="B118" s="234"/>
      <c r="C118" s="234"/>
      <c r="D118" s="234"/>
      <c r="E118" s="234"/>
      <c r="F118" s="234"/>
      <c r="G118" s="234"/>
      <c r="H118" s="234"/>
      <c r="I118" s="234"/>
      <c r="J118" s="234"/>
      <c r="K118" s="234"/>
      <c r="L118" s="234"/>
      <c r="M118" s="234"/>
      <c r="N118" s="234"/>
      <c r="O118" s="234"/>
    </row>
    <row r="119" spans="1:33" ht="15.75" customHeight="1" collapsed="1">
      <c r="A119" s="101" t="s">
        <v>443</v>
      </c>
      <c r="B119" s="218">
        <f>SUM(C120:C125)</f>
        <v>1.3541666666666667E-3</v>
      </c>
      <c r="C119" s="235"/>
      <c r="D119" s="218">
        <f>SUM(E120:E125)</f>
        <v>4.1666666666666664E-4</v>
      </c>
      <c r="E119" s="235"/>
      <c r="F119" s="218">
        <f>SUM(G120:G125)</f>
        <v>3.1250000000000001E-4</v>
      </c>
      <c r="G119" s="235"/>
      <c r="H119" s="218">
        <f>SUM(I120:I125)</f>
        <v>3.1250000000000001E-4</v>
      </c>
      <c r="I119" s="235"/>
      <c r="J119" s="218">
        <f>SUM(K120:K125)</f>
        <v>3.7037037037037041E-4</v>
      </c>
      <c r="K119" s="235"/>
      <c r="L119" s="218">
        <f>SUM(M120:M125)</f>
        <v>2.4305555555555558E-4</v>
      </c>
      <c r="M119" s="235"/>
      <c r="N119" s="218">
        <f>SUM(O120:O125)</f>
        <v>4.976851851851851E-4</v>
      </c>
      <c r="O119" s="235"/>
      <c r="P119" s="218">
        <f>SUM(Q120:Q125)</f>
        <v>1.0416666666666666E-4</v>
      </c>
      <c r="Q119" s="235"/>
      <c r="R119" s="218">
        <f>SUM(S120:S125)</f>
        <v>1.273148148148148E-4</v>
      </c>
      <c r="S119" s="235"/>
      <c r="T119" s="218">
        <f>SUM(U120:U125)</f>
        <v>2.5462962962962961E-4</v>
      </c>
      <c r="U119" s="235"/>
      <c r="V119" s="218">
        <f>SUM(W120:W125)</f>
        <v>1.3888888888888889E-4</v>
      </c>
      <c r="W119" s="235"/>
      <c r="X119" s="218">
        <f>SUM(Y120:Y125)</f>
        <v>0</v>
      </c>
      <c r="Y119" s="235"/>
      <c r="Z119" s="218">
        <f>SUM(AA120:AA125)</f>
        <v>0</v>
      </c>
      <c r="AA119" s="235"/>
      <c r="AB119" s="218">
        <f>SUM(AC120:AC125)</f>
        <v>0</v>
      </c>
      <c r="AC119" s="235"/>
      <c r="AD119" s="218">
        <f>SUM(AE120:AE125)</f>
        <v>0</v>
      </c>
      <c r="AE119" s="235"/>
      <c r="AF119" s="218">
        <f>SUM(AG120:AG125)</f>
        <v>0</v>
      </c>
      <c r="AG119" s="235"/>
    </row>
    <row r="120" spans="1:33" ht="15.75" hidden="1" customHeight="1" outlineLevel="1">
      <c r="A120" s="81" t="s">
        <v>444</v>
      </c>
      <c r="B120" s="70" t="s">
        <v>445</v>
      </c>
      <c r="C120" s="69" t="s">
        <v>18</v>
      </c>
      <c r="D120" s="70" t="s">
        <v>446</v>
      </c>
      <c r="E120" s="73">
        <v>6.9444444444444444E-5</v>
      </c>
      <c r="F120" s="70" t="s">
        <v>447</v>
      </c>
      <c r="G120" s="73">
        <v>4.6296296296296294E-5</v>
      </c>
      <c r="H120" s="70" t="s">
        <v>448</v>
      </c>
      <c r="I120" s="73">
        <v>1.273148148148148E-4</v>
      </c>
      <c r="J120" s="1" t="s">
        <v>449</v>
      </c>
      <c r="K120" s="74">
        <v>1.3888888888888889E-4</v>
      </c>
      <c r="L120" s="70" t="s">
        <v>450</v>
      </c>
      <c r="M120" s="74">
        <v>1.0416666666666667E-4</v>
      </c>
      <c r="N120" s="70" t="s">
        <v>451</v>
      </c>
      <c r="O120" s="73">
        <v>1.273148148148148E-4</v>
      </c>
      <c r="P120" s="72" t="s">
        <v>452</v>
      </c>
      <c r="Q120" s="94">
        <v>8.1018518518518516E-5</v>
      </c>
      <c r="R120" s="208" t="s">
        <v>453</v>
      </c>
      <c r="S120" s="216">
        <v>0</v>
      </c>
      <c r="T120" s="70" t="s">
        <v>18</v>
      </c>
      <c r="U120" s="73">
        <v>0</v>
      </c>
      <c r="V120" s="70"/>
      <c r="W120" s="83"/>
      <c r="X120" s="244"/>
      <c r="Y120" s="249"/>
      <c r="Z120" s="70"/>
      <c r="AA120" s="83"/>
      <c r="AB120" s="78"/>
      <c r="AC120" s="83"/>
      <c r="AD120" s="245"/>
      <c r="AE120" s="249"/>
      <c r="AF120" s="78"/>
      <c r="AG120" s="83"/>
    </row>
    <row r="121" spans="1:33" ht="15.75" hidden="1" customHeight="1" outlineLevel="1">
      <c r="A121" s="81" t="s">
        <v>454</v>
      </c>
      <c r="B121" s="70" t="s">
        <v>455</v>
      </c>
      <c r="C121" s="19">
        <v>2.3148148148148147E-5</v>
      </c>
      <c r="D121" s="70" t="s">
        <v>456</v>
      </c>
      <c r="E121" s="73">
        <v>3.4722222222222222E-5</v>
      </c>
      <c r="F121" s="70" t="s">
        <v>457</v>
      </c>
      <c r="G121" s="73">
        <v>5.7870370370370373E-5</v>
      </c>
      <c r="H121" s="70" t="s">
        <v>458</v>
      </c>
      <c r="I121" s="73">
        <v>2.3148148148148147E-5</v>
      </c>
      <c r="J121" s="1" t="s">
        <v>459</v>
      </c>
      <c r="K121" s="74">
        <v>3.4722222222222222E-5</v>
      </c>
      <c r="L121" s="70" t="s">
        <v>460</v>
      </c>
      <c r="M121" s="74">
        <v>2.3148148148148147E-5</v>
      </c>
      <c r="N121" s="70" t="s">
        <v>461</v>
      </c>
      <c r="O121" s="73">
        <v>2.3148148148148147E-5</v>
      </c>
      <c r="P121" s="72" t="s">
        <v>462</v>
      </c>
      <c r="Q121" s="94">
        <v>2.3148148148148147E-5</v>
      </c>
      <c r="R121" s="247"/>
      <c r="S121" s="235"/>
      <c r="T121" s="70" t="s">
        <v>463</v>
      </c>
      <c r="U121" s="73">
        <v>2.3148148148148147E-5</v>
      </c>
      <c r="V121" s="70"/>
      <c r="W121" s="83"/>
      <c r="X121" s="247"/>
      <c r="Y121" s="235"/>
      <c r="Z121" s="70"/>
      <c r="AA121" s="83"/>
      <c r="AB121" s="78"/>
      <c r="AC121" s="83"/>
      <c r="AD121" s="247"/>
      <c r="AE121" s="235"/>
      <c r="AF121" s="78"/>
      <c r="AG121" s="83"/>
    </row>
    <row r="122" spans="1:33" ht="15.75" hidden="1" customHeight="1" outlineLevel="1">
      <c r="A122" s="81" t="s">
        <v>464</v>
      </c>
      <c r="B122" s="70" t="s">
        <v>465</v>
      </c>
      <c r="C122" s="19">
        <v>1.1574074074074075E-4</v>
      </c>
      <c r="D122" s="70" t="s">
        <v>18</v>
      </c>
      <c r="E122" s="73">
        <v>0</v>
      </c>
      <c r="F122" s="70" t="s">
        <v>18</v>
      </c>
      <c r="G122" s="73">
        <v>0</v>
      </c>
      <c r="H122" s="70" t="s">
        <v>18</v>
      </c>
      <c r="I122" s="73">
        <v>0</v>
      </c>
      <c r="J122" s="1" t="s">
        <v>18</v>
      </c>
      <c r="K122" s="74">
        <v>0</v>
      </c>
      <c r="L122" s="70" t="s">
        <v>18</v>
      </c>
      <c r="M122" s="74">
        <v>0</v>
      </c>
      <c r="N122" s="70" t="s">
        <v>18</v>
      </c>
      <c r="O122" s="73">
        <v>0</v>
      </c>
      <c r="P122" s="217" t="s">
        <v>466</v>
      </c>
      <c r="Q122" s="235"/>
      <c r="R122" s="70" t="s">
        <v>18</v>
      </c>
      <c r="S122" s="73">
        <v>0</v>
      </c>
      <c r="T122" s="70" t="s">
        <v>18</v>
      </c>
      <c r="U122" s="73">
        <v>0</v>
      </c>
      <c r="V122" s="70"/>
      <c r="W122" s="69"/>
      <c r="X122" s="70"/>
      <c r="Y122" s="83"/>
      <c r="Z122" s="70"/>
      <c r="AA122" s="83"/>
      <c r="AB122" s="78"/>
      <c r="AC122" s="83"/>
      <c r="AD122" s="78"/>
      <c r="AE122" s="83"/>
      <c r="AF122" s="78"/>
      <c r="AG122" s="83"/>
    </row>
    <row r="123" spans="1:33" ht="15.75" hidden="1" customHeight="1" outlineLevel="1">
      <c r="A123" s="81" t="s">
        <v>467</v>
      </c>
      <c r="B123" s="70" t="s">
        <v>468</v>
      </c>
      <c r="C123" s="19">
        <v>1.3888888888888889E-4</v>
      </c>
      <c r="D123" s="70" t="s">
        <v>469</v>
      </c>
      <c r="E123" s="73">
        <v>1.3888888888888889E-4</v>
      </c>
      <c r="F123" s="70" t="s">
        <v>470</v>
      </c>
      <c r="G123" s="73">
        <v>1.3888888888888889E-4</v>
      </c>
      <c r="H123" s="72" t="s">
        <v>471</v>
      </c>
      <c r="I123" s="73">
        <v>1.1574074074074075E-4</v>
      </c>
      <c r="J123" s="1" t="s">
        <v>472</v>
      </c>
      <c r="K123" s="74">
        <v>1.6203703703703703E-4</v>
      </c>
      <c r="L123" s="70" t="s">
        <v>473</v>
      </c>
      <c r="M123" s="88"/>
      <c r="N123" s="70" t="s">
        <v>474</v>
      </c>
      <c r="O123" s="73">
        <v>1.6203703703703703E-4</v>
      </c>
      <c r="P123" s="234"/>
      <c r="Q123" s="235"/>
      <c r="R123" s="70" t="s">
        <v>475</v>
      </c>
      <c r="S123" s="73">
        <v>5.7870370370370373E-5</v>
      </c>
      <c r="T123" s="70" t="s">
        <v>476</v>
      </c>
      <c r="U123" s="73">
        <v>1.6203703703703703E-4</v>
      </c>
      <c r="V123" s="75" t="s">
        <v>477</v>
      </c>
      <c r="W123" s="102">
        <v>9.2592592592592588E-5</v>
      </c>
      <c r="X123" s="70"/>
      <c r="Y123" s="83"/>
      <c r="Z123" s="70"/>
      <c r="AA123" s="83"/>
      <c r="AB123" s="78"/>
      <c r="AC123" s="83"/>
      <c r="AD123" s="78"/>
      <c r="AE123" s="83"/>
      <c r="AF123" s="78"/>
      <c r="AG123" s="83"/>
    </row>
    <row r="124" spans="1:33" ht="15.75" hidden="1" customHeight="1" outlineLevel="1">
      <c r="A124" s="103" t="s">
        <v>478</v>
      </c>
      <c r="B124" s="72" t="s">
        <v>479</v>
      </c>
      <c r="C124" s="19">
        <v>1.0300925925925926E-3</v>
      </c>
      <c r="D124" s="70" t="s">
        <v>18</v>
      </c>
      <c r="E124" s="73">
        <v>0</v>
      </c>
      <c r="F124" s="70" t="s">
        <v>18</v>
      </c>
      <c r="G124" s="73">
        <v>0</v>
      </c>
      <c r="H124" s="70" t="s">
        <v>18</v>
      </c>
      <c r="I124" s="73">
        <v>0</v>
      </c>
      <c r="J124" s="1" t="s">
        <v>18</v>
      </c>
      <c r="K124" s="74">
        <v>0</v>
      </c>
      <c r="L124" s="70" t="s">
        <v>18</v>
      </c>
      <c r="M124" s="74">
        <v>0</v>
      </c>
      <c r="N124" s="70" t="s">
        <v>18</v>
      </c>
      <c r="O124" s="73">
        <v>0</v>
      </c>
      <c r="P124" s="234"/>
      <c r="Q124" s="235"/>
      <c r="R124" s="70" t="s">
        <v>18</v>
      </c>
      <c r="S124" s="73">
        <v>0</v>
      </c>
      <c r="T124" s="70" t="s">
        <v>18</v>
      </c>
      <c r="U124" s="73">
        <v>0</v>
      </c>
      <c r="V124" s="70"/>
      <c r="W124" s="69"/>
      <c r="X124" s="70"/>
      <c r="Y124" s="83"/>
      <c r="Z124" s="70"/>
      <c r="AA124" s="83"/>
      <c r="AB124" s="78"/>
      <c r="AC124" s="83"/>
      <c r="AD124" s="78"/>
      <c r="AE124" s="83"/>
      <c r="AF124" s="78"/>
      <c r="AG124" s="83"/>
    </row>
    <row r="125" spans="1:33" ht="15.75" hidden="1" customHeight="1" outlineLevel="1">
      <c r="A125" s="81" t="s">
        <v>480</v>
      </c>
      <c r="B125" s="70" t="s">
        <v>481</v>
      </c>
      <c r="C125" s="19">
        <v>4.6296296296296294E-5</v>
      </c>
      <c r="D125" s="70" t="s">
        <v>482</v>
      </c>
      <c r="E125" s="73">
        <v>1.7361111111111112E-4</v>
      </c>
      <c r="F125" s="70" t="s">
        <v>483</v>
      </c>
      <c r="G125" s="73">
        <v>6.9444444444444444E-5</v>
      </c>
      <c r="H125" s="70" t="s">
        <v>484</v>
      </c>
      <c r="I125" s="73">
        <v>4.6296296296296294E-5</v>
      </c>
      <c r="J125" s="1" t="s">
        <v>485</v>
      </c>
      <c r="K125" s="74">
        <v>3.4722222222222222E-5</v>
      </c>
      <c r="L125" s="70" t="s">
        <v>486</v>
      </c>
      <c r="M125" s="74">
        <v>1.1574074074074075E-4</v>
      </c>
      <c r="N125" s="72" t="s">
        <v>487</v>
      </c>
      <c r="O125" s="73">
        <v>1.8518518518518518E-4</v>
      </c>
      <c r="P125" s="234"/>
      <c r="Q125" s="235"/>
      <c r="R125" s="70" t="s">
        <v>488</v>
      </c>
      <c r="S125" s="73">
        <v>6.9444444444444444E-5</v>
      </c>
      <c r="T125" s="70" t="s">
        <v>489</v>
      </c>
      <c r="U125" s="73">
        <v>6.9444444444444444E-5</v>
      </c>
      <c r="V125" s="75" t="s">
        <v>490</v>
      </c>
      <c r="W125" s="102">
        <v>4.6296296296296294E-5</v>
      </c>
      <c r="X125" s="70"/>
      <c r="Y125" s="83"/>
      <c r="Z125" s="70"/>
      <c r="AA125" s="83"/>
      <c r="AB125" s="78"/>
      <c r="AC125" s="83"/>
      <c r="AD125" s="78"/>
      <c r="AE125" s="83"/>
      <c r="AF125" s="78"/>
      <c r="AG125" s="83"/>
    </row>
    <row r="126" spans="1:33" ht="15.75" customHeight="1">
      <c r="A126" s="243"/>
      <c r="B126" s="234"/>
      <c r="C126" s="234"/>
      <c r="D126" s="234"/>
      <c r="E126" s="234"/>
      <c r="F126" s="234"/>
      <c r="G126" s="234"/>
      <c r="H126" s="234"/>
      <c r="I126" s="234"/>
      <c r="J126" s="234"/>
      <c r="K126" s="234"/>
      <c r="L126" s="234"/>
      <c r="M126" s="234"/>
      <c r="N126" s="234"/>
      <c r="O126" s="234"/>
    </row>
    <row r="127" spans="1:33" ht="15.75" customHeight="1">
      <c r="A127" s="104" t="s">
        <v>491</v>
      </c>
      <c r="B127" s="220">
        <f>C128</f>
        <v>0</v>
      </c>
      <c r="C127" s="235"/>
      <c r="D127" s="220">
        <v>0</v>
      </c>
      <c r="E127" s="235"/>
      <c r="F127" s="220">
        <v>0</v>
      </c>
      <c r="G127" s="235"/>
      <c r="H127" s="220">
        <v>0</v>
      </c>
      <c r="I127" s="235"/>
      <c r="J127" s="221">
        <v>0</v>
      </c>
      <c r="K127" s="235"/>
      <c r="L127" s="221">
        <v>0</v>
      </c>
      <c r="M127" s="235"/>
      <c r="N127" s="223">
        <f>O128</f>
        <v>4.5138888888888885E-3</v>
      </c>
      <c r="O127" s="235"/>
      <c r="P127" s="220">
        <f>Q128</f>
        <v>4.0509259259259257E-3</v>
      </c>
      <c r="Q127" s="234"/>
      <c r="R127" s="220">
        <f>S128</f>
        <v>0</v>
      </c>
      <c r="S127" s="235"/>
      <c r="T127" s="220">
        <f>U128</f>
        <v>0</v>
      </c>
      <c r="U127" s="235"/>
      <c r="V127" s="251">
        <f>W128</f>
        <v>0</v>
      </c>
      <c r="W127" s="235"/>
      <c r="X127" s="225">
        <f>Y128</f>
        <v>0</v>
      </c>
      <c r="Y127" s="235"/>
      <c r="Z127" s="226">
        <f>AA128</f>
        <v>0</v>
      </c>
      <c r="AA127" s="235"/>
      <c r="AB127" s="251">
        <f>AC128</f>
        <v>0</v>
      </c>
      <c r="AC127" s="235"/>
      <c r="AD127" s="221">
        <f>AE128</f>
        <v>0</v>
      </c>
      <c r="AE127" s="235"/>
      <c r="AF127" s="221">
        <f>AG128</f>
        <v>0</v>
      </c>
      <c r="AG127" s="235"/>
    </row>
    <row r="128" spans="1:33" ht="15.75" customHeight="1" outlineLevel="1">
      <c r="A128" s="104"/>
      <c r="B128" s="106" t="s">
        <v>18</v>
      </c>
      <c r="C128" s="108">
        <v>0</v>
      </c>
      <c r="D128" s="109" t="s">
        <v>18</v>
      </c>
      <c r="E128" s="105">
        <v>0</v>
      </c>
      <c r="F128" s="106" t="s">
        <v>18</v>
      </c>
      <c r="G128" s="105">
        <v>0</v>
      </c>
      <c r="H128" s="106" t="s">
        <v>18</v>
      </c>
      <c r="I128" s="108">
        <v>0</v>
      </c>
      <c r="J128" s="106" t="s">
        <v>18</v>
      </c>
      <c r="K128" s="108">
        <v>0</v>
      </c>
      <c r="L128" s="106" t="s">
        <v>18</v>
      </c>
      <c r="M128" s="108">
        <v>0</v>
      </c>
      <c r="N128" s="110" t="s">
        <v>492</v>
      </c>
      <c r="O128" s="111">
        <v>4.5138888888888885E-3</v>
      </c>
      <c r="P128" s="112" t="s">
        <v>493</v>
      </c>
      <c r="Q128" s="113">
        <v>4.0509259259259257E-3</v>
      </c>
      <c r="R128" s="106" t="s">
        <v>18</v>
      </c>
      <c r="S128" s="107">
        <v>0</v>
      </c>
      <c r="T128" s="106" t="s">
        <v>18</v>
      </c>
      <c r="U128" s="113">
        <v>0</v>
      </c>
      <c r="V128" s="114"/>
      <c r="W128" s="115"/>
      <c r="X128" s="114"/>
      <c r="Y128" s="115"/>
      <c r="Z128" s="114"/>
      <c r="AA128" s="115"/>
      <c r="AB128" s="114"/>
      <c r="AC128" s="115"/>
      <c r="AD128" s="114"/>
      <c r="AE128" s="115"/>
      <c r="AF128" s="114"/>
      <c r="AG128" s="115"/>
    </row>
    <row r="129" spans="1:33" ht="15.75" customHeight="1">
      <c r="A129" s="243"/>
      <c r="B129" s="234"/>
      <c r="C129" s="234"/>
      <c r="D129" s="234"/>
      <c r="E129" s="234"/>
      <c r="F129" s="234"/>
      <c r="G129" s="234"/>
      <c r="H129" s="234"/>
      <c r="I129" s="234"/>
      <c r="J129" s="234"/>
      <c r="K129" s="234"/>
      <c r="L129" s="234"/>
      <c r="M129" s="234"/>
      <c r="N129" s="234"/>
      <c r="O129" s="234"/>
    </row>
    <row r="130" spans="1:33" ht="15.75" customHeight="1">
      <c r="A130" s="116" t="s">
        <v>34</v>
      </c>
      <c r="B130" s="222">
        <f>SUM(C44:C45,C47:C48,C50:C51,C55:C56,C60:C61,C66,C68:C70,C73:C77,C81:C82,C84:C85,C87:C92,C94:C95,C99:C100,C102,C104:C106,C110:C111,C114,C116:C117,C121:C123,C124:C125)</f>
        <v>7.1064814814814819E-3</v>
      </c>
      <c r="C130" s="236"/>
      <c r="D130" s="117">
        <v>4.5138888888888885E-3</v>
      </c>
      <c r="E130" s="118">
        <f>SUM(D40,D42,D53,D65,D72,D79,D97,D108,D119,D127)</f>
        <v>4.4444444444444444E-3</v>
      </c>
      <c r="F130" s="117">
        <v>3.6226851851851854E-3</v>
      </c>
      <c r="G130" s="118">
        <f>SUM(F42,F53,F65,F72,F79,F97,F108,F119,F127)</f>
        <v>3.8425925925925923E-3</v>
      </c>
      <c r="H130" s="119">
        <v>4.6874999999999998E-3</v>
      </c>
      <c r="I130" s="118">
        <f>SUM(H40,H43,H54,H66,H73,H80,H98,H109,H120,H128)</f>
        <v>5.7870370370370367E-4</v>
      </c>
      <c r="J130" s="120"/>
      <c r="K130" s="121">
        <f>SUM(J40,J43,J54,J66,J73,J98,J109,J120,J128)</f>
        <v>5.3240740740740744E-4</v>
      </c>
      <c r="L130" s="119">
        <v>4.1087962962962962E-3</v>
      </c>
      <c r="M130" s="118">
        <f>SUM(L40,L43,L54,L66,L73,L80,L98,L109,L120,L128)</f>
        <v>7.2916666666666659E-4</v>
      </c>
      <c r="N130" s="117">
        <v>1.4814814814814815E-2</v>
      </c>
      <c r="O130" s="118">
        <f>SUM(N40,N43,N54,N66,N73,N80,N98,N109,N120,O128)</f>
        <v>5.6944444444444438E-3</v>
      </c>
      <c r="P130" s="122">
        <f>P132-Q128</f>
        <v>1.0347222222222223E-2</v>
      </c>
      <c r="Q130" s="123">
        <f>SUM(P39,P42,P53,P65,P72,P79,P97,P108,P119)</f>
        <v>7.1412037037037034E-3</v>
      </c>
      <c r="R130" s="123">
        <v>1.5740740740740739E-2</v>
      </c>
      <c r="S130" s="123">
        <f>SUM(R39,R42,R53,R65,R72,R79,R97,R108,R119)</f>
        <v>3.5995370370370374E-3</v>
      </c>
      <c r="T130" s="123">
        <v>9.6064814814814815E-3</v>
      </c>
      <c r="U130" s="123">
        <f>SUM(T39,T42,T53,T65,T72,T79,T97,T108,T119)</f>
        <v>5.1851851851851859E-3</v>
      </c>
      <c r="V130" s="122">
        <v>3.3912037037037036E-3</v>
      </c>
      <c r="W130" s="123">
        <f>SUM(V40,V43,V54,V66,V73,V80,V98,V109,V120)</f>
        <v>1.8518518518518518E-4</v>
      </c>
      <c r="X130" s="124"/>
      <c r="Y130" s="123">
        <f>SUM(X40,X43,X54,X66,X73,X80,X98,X109,X120)</f>
        <v>0</v>
      </c>
      <c r="Z130" s="124"/>
      <c r="AA130" s="123">
        <f>SUM(Z40,Z43,Z54,Z66,Z73,Z80,Z98,Z109,Z120,AA128)</f>
        <v>0</v>
      </c>
      <c r="AB130" s="125"/>
      <c r="AC130" s="123">
        <f>SUM(AB40,AB43,AB54,AB66,AB73,AB80,AB98,AB109,AB120,AC128)</f>
        <v>0</v>
      </c>
      <c r="AD130" s="125"/>
      <c r="AE130" s="123">
        <f>SUM(AD40,AD43,AD54,AD66,AD73,AD80,AD98,AD109,AD120,AE128)</f>
        <v>0</v>
      </c>
      <c r="AF130" s="125"/>
      <c r="AG130" s="123">
        <f>SUM(AF40,AF43,AF54,AF66,AF73,AF80,AF98,AF109,AF120,AG128)</f>
        <v>0</v>
      </c>
    </row>
    <row r="131" spans="1:33" ht="15.75" customHeight="1">
      <c r="A131" s="1"/>
      <c r="B131" s="1" t="s">
        <v>494</v>
      </c>
      <c r="C131" s="1"/>
      <c r="D131" s="1" t="s">
        <v>495</v>
      </c>
      <c r="E131" s="1"/>
      <c r="F131" s="1" t="s">
        <v>495</v>
      </c>
      <c r="G131" s="1"/>
      <c r="H131" s="126" t="s">
        <v>496</v>
      </c>
      <c r="I131" s="1"/>
      <c r="J131" s="126" t="s">
        <v>496</v>
      </c>
      <c r="K131" s="1"/>
      <c r="L131" s="126" t="s">
        <v>496</v>
      </c>
      <c r="M131" s="1"/>
      <c r="N131" s="126" t="s">
        <v>496</v>
      </c>
      <c r="O131" s="1"/>
      <c r="P131" s="126" t="s">
        <v>496</v>
      </c>
      <c r="Q131" s="1"/>
      <c r="R131" s="126" t="s">
        <v>496</v>
      </c>
      <c r="S131" s="1"/>
      <c r="T131" s="126" t="s">
        <v>496</v>
      </c>
      <c r="U131" s="1"/>
      <c r="V131" s="1" t="s">
        <v>496</v>
      </c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</row>
    <row r="132" spans="1:33" ht="15.75" customHeight="1">
      <c r="A132" s="1"/>
      <c r="B132" s="1"/>
      <c r="C132" s="1"/>
      <c r="D132" s="1" t="s">
        <v>497</v>
      </c>
      <c r="E132" s="1"/>
      <c r="F132" s="1" t="s">
        <v>497</v>
      </c>
      <c r="G132" s="1"/>
      <c r="H132" s="1"/>
      <c r="P132" s="127">
        <v>1.4398148148148148E-2</v>
      </c>
      <c r="Q132" s="128">
        <f>SUM(Q130,Q128)</f>
        <v>1.1192129629629628E-2</v>
      </c>
      <c r="R132" s="1"/>
      <c r="S132" s="1"/>
      <c r="T132" s="1"/>
      <c r="U132" s="1"/>
    </row>
    <row r="133" spans="1:33" ht="15.75" customHeight="1">
      <c r="C133" s="1"/>
      <c r="D133" s="129"/>
      <c r="E133" s="129"/>
      <c r="P133" s="126" t="s">
        <v>496</v>
      </c>
      <c r="Q133" s="1"/>
      <c r="R133" s="1"/>
      <c r="S133" s="1"/>
      <c r="T133" s="1"/>
      <c r="U133" s="1"/>
    </row>
    <row r="134" spans="1:33" ht="15.75" customHeight="1">
      <c r="C134" s="1"/>
      <c r="D134" s="185">
        <v>46121</v>
      </c>
      <c r="E134" s="230"/>
    </row>
    <row r="135" spans="1:33" ht="15.75" customHeight="1">
      <c r="C135" s="130" t="s">
        <v>498</v>
      </c>
      <c r="D135" s="219" t="s">
        <v>499</v>
      </c>
      <c r="E135" s="230"/>
      <c r="N135" s="131">
        <f>O128/O130</f>
        <v>0.79268292682926833</v>
      </c>
      <c r="Q135" s="131">
        <f>Q128/Q132</f>
        <v>0.36194415718717687</v>
      </c>
    </row>
    <row r="136" spans="1:33" ht="15.75" customHeight="1" collapsed="1">
      <c r="C136" s="132" t="s">
        <v>59</v>
      </c>
      <c r="D136" s="200">
        <f>E137</f>
        <v>0</v>
      </c>
      <c r="E136" s="235"/>
    </row>
    <row r="137" spans="1:33" ht="15.75" hidden="1" customHeight="1" outlineLevel="1">
      <c r="C137" s="133" t="s">
        <v>60</v>
      </c>
      <c r="D137" s="96">
        <v>0</v>
      </c>
      <c r="E137" s="19">
        <v>0</v>
      </c>
    </row>
    <row r="138" spans="1:33" ht="15.75" customHeight="1">
      <c r="C138" s="243"/>
      <c r="D138" s="234"/>
      <c r="E138" s="234"/>
    </row>
    <row r="139" spans="1:33" ht="15.75" customHeight="1" collapsed="1">
      <c r="C139" s="134" t="s">
        <v>64</v>
      </c>
      <c r="D139" s="201">
        <f>SUM(D140,D143,D146)</f>
        <v>1.1921296296296298E-3</v>
      </c>
      <c r="E139" s="235"/>
    </row>
    <row r="140" spans="1:33" ht="15.75" hidden="1" customHeight="1" outlineLevel="1">
      <c r="C140" s="100" t="s">
        <v>65</v>
      </c>
      <c r="D140" s="192">
        <f>SUM(E141:E142)</f>
        <v>1.0416666666666666E-4</v>
      </c>
      <c r="E140" s="235"/>
    </row>
    <row r="141" spans="1:33" ht="15.75" hidden="1" customHeight="1" outlineLevel="2">
      <c r="C141" s="70" t="s">
        <v>66</v>
      </c>
      <c r="D141" s="70" t="s">
        <v>500</v>
      </c>
      <c r="E141" s="19">
        <v>4.6296296296296294E-5</v>
      </c>
    </row>
    <row r="142" spans="1:33" ht="15.75" hidden="1" customHeight="1" outlineLevel="2">
      <c r="C142" s="70" t="s">
        <v>78</v>
      </c>
      <c r="D142" s="135">
        <v>3.472222222222222E-3</v>
      </c>
      <c r="E142" s="19">
        <v>5.7870370370370373E-5</v>
      </c>
    </row>
    <row r="143" spans="1:33" ht="15.75" hidden="1" customHeight="1" outlineLevel="1">
      <c r="C143" s="100" t="s">
        <v>90</v>
      </c>
      <c r="D143" s="192">
        <f>SUM(E144:E145)</f>
        <v>6.5972222222222224E-4</v>
      </c>
      <c r="E143" s="235"/>
    </row>
    <row r="144" spans="1:33" ht="15.75" hidden="1" customHeight="1" outlineLevel="2">
      <c r="C144" s="70" t="s">
        <v>66</v>
      </c>
      <c r="D144" s="70" t="s">
        <v>501</v>
      </c>
      <c r="E144" s="19">
        <v>4.6296296296296298E-4</v>
      </c>
    </row>
    <row r="145" spans="3:5" ht="15.75" hidden="1" customHeight="1" outlineLevel="2">
      <c r="C145" s="70" t="s">
        <v>78</v>
      </c>
      <c r="D145" s="70" t="s">
        <v>502</v>
      </c>
      <c r="E145" s="19">
        <v>1.9675925925925926E-4</v>
      </c>
    </row>
    <row r="146" spans="3:5" ht="15.75" hidden="1" customHeight="1" outlineLevel="1">
      <c r="C146" s="100" t="s">
        <v>113</v>
      </c>
      <c r="D146" s="192">
        <f>SUM(E147:E148)</f>
        <v>4.2824074074074075E-4</v>
      </c>
      <c r="E146" s="235"/>
    </row>
    <row r="147" spans="3:5" ht="15.75" hidden="1" customHeight="1" outlineLevel="2">
      <c r="C147" s="70" t="s">
        <v>114</v>
      </c>
      <c r="D147" s="70" t="s">
        <v>503</v>
      </c>
      <c r="E147" s="19">
        <v>8.1018518518518516E-5</v>
      </c>
    </row>
    <row r="148" spans="3:5" ht="15.75" hidden="1" customHeight="1" outlineLevel="2">
      <c r="C148" s="70" t="s">
        <v>121</v>
      </c>
      <c r="D148" s="70" t="s">
        <v>504</v>
      </c>
      <c r="E148" s="19">
        <v>3.4722222222222224E-4</v>
      </c>
    </row>
    <row r="149" spans="3:5" ht="15.75" customHeight="1">
      <c r="C149" s="243"/>
      <c r="D149" s="234"/>
      <c r="E149" s="234"/>
    </row>
    <row r="150" spans="3:5" ht="15.75" customHeight="1" collapsed="1">
      <c r="C150" s="136" t="s">
        <v>505</v>
      </c>
      <c r="D150" s="205">
        <f>SUM(D151,E154,D155,E161)</f>
        <v>1.2384259259259258E-3</v>
      </c>
      <c r="E150" s="235"/>
    </row>
    <row r="151" spans="3:5" ht="15.75" hidden="1" customHeight="1" outlineLevel="1">
      <c r="C151" s="137" t="s">
        <v>506</v>
      </c>
      <c r="D151" s="192">
        <f>SUM(E152:E153)</f>
        <v>5.7870370370370367E-4</v>
      </c>
      <c r="E151" s="235"/>
    </row>
    <row r="152" spans="3:5" ht="15.75" hidden="1" customHeight="1" outlineLevel="2">
      <c r="C152" s="138" t="s">
        <v>132</v>
      </c>
      <c r="D152" s="70" t="s">
        <v>507</v>
      </c>
      <c r="E152" s="19">
        <v>2.7777777777777778E-4</v>
      </c>
    </row>
    <row r="153" spans="3:5" ht="15.75" hidden="1" customHeight="1" outlineLevel="2">
      <c r="C153" s="138" t="s">
        <v>174</v>
      </c>
      <c r="D153" s="70" t="s">
        <v>508</v>
      </c>
      <c r="E153" s="19">
        <v>3.0092592592592595E-4</v>
      </c>
    </row>
    <row r="154" spans="3:5" ht="15.75" hidden="1" customHeight="1" outlineLevel="1">
      <c r="C154" s="137" t="s">
        <v>509</v>
      </c>
      <c r="D154" s="70" t="s">
        <v>510</v>
      </c>
      <c r="E154" s="73">
        <v>9.2592592592592588E-5</v>
      </c>
    </row>
    <row r="155" spans="3:5" ht="15.75" hidden="1" customHeight="1" outlineLevel="1">
      <c r="C155" s="100" t="s">
        <v>511</v>
      </c>
      <c r="D155" s="192">
        <f>SUM(E156,E157,E160)</f>
        <v>5.6712962962962967E-4</v>
      </c>
      <c r="E155" s="235"/>
    </row>
    <row r="156" spans="3:5" ht="15.75" hidden="1" customHeight="1" outlineLevel="2">
      <c r="C156" s="70" t="s">
        <v>177</v>
      </c>
      <c r="D156" s="70" t="s">
        <v>512</v>
      </c>
      <c r="E156" s="19">
        <v>1.1574074074074075E-4</v>
      </c>
    </row>
    <row r="157" spans="3:5" ht="15.75" hidden="1" customHeight="1" outlineLevel="2">
      <c r="C157" s="70" t="s">
        <v>189</v>
      </c>
      <c r="D157" s="70"/>
      <c r="E157" s="19">
        <f>SUM(E158:E159)</f>
        <v>3.8194444444444446E-4</v>
      </c>
    </row>
    <row r="158" spans="3:5" ht="15.75" hidden="1" customHeight="1" outlineLevel="3">
      <c r="C158" s="100" t="s">
        <v>132</v>
      </c>
      <c r="D158" s="70" t="s">
        <v>513</v>
      </c>
      <c r="E158" s="19">
        <v>1.5046296296296297E-4</v>
      </c>
    </row>
    <row r="159" spans="3:5" ht="15.75" hidden="1" customHeight="1" outlineLevel="3">
      <c r="C159" s="100" t="s">
        <v>174</v>
      </c>
      <c r="D159" s="70" t="s">
        <v>514</v>
      </c>
      <c r="E159" s="19">
        <v>2.3148148148148149E-4</v>
      </c>
    </row>
    <row r="160" spans="3:5" ht="15.75" hidden="1" customHeight="1" outlineLevel="2">
      <c r="C160" s="70" t="s">
        <v>212</v>
      </c>
      <c r="D160" s="70" t="s">
        <v>515</v>
      </c>
      <c r="E160" s="19">
        <v>6.9444444444444444E-5</v>
      </c>
    </row>
    <row r="161" spans="3:5" ht="15.75" hidden="1" customHeight="1" outlineLevel="1">
      <c r="C161" s="100" t="s">
        <v>516</v>
      </c>
      <c r="D161" s="192">
        <f>E162</f>
        <v>6.9444444444444444E-5</v>
      </c>
      <c r="E161" s="235"/>
    </row>
    <row r="162" spans="3:5" ht="15.75" hidden="1" customHeight="1" outlineLevel="2">
      <c r="C162" s="70" t="s">
        <v>132</v>
      </c>
      <c r="D162" s="70" t="s">
        <v>517</v>
      </c>
      <c r="E162" s="19">
        <v>6.9444444444444444E-5</v>
      </c>
    </row>
    <row r="163" spans="3:5" ht="15.75" hidden="1" customHeight="1" outlineLevel="2">
      <c r="C163" s="70"/>
      <c r="D163" s="72" t="s">
        <v>518</v>
      </c>
      <c r="E163" s="19">
        <v>1.273148148148148E-4</v>
      </c>
    </row>
    <row r="164" spans="3:5" ht="15.75" hidden="1" customHeight="1" outlineLevel="2">
      <c r="C164" s="70" t="s">
        <v>143</v>
      </c>
      <c r="D164" s="68">
        <v>0</v>
      </c>
      <c r="E164" s="19">
        <v>0</v>
      </c>
    </row>
    <row r="165" spans="3:5" ht="15.75" customHeight="1">
      <c r="C165" s="243"/>
      <c r="D165" s="234"/>
      <c r="E165" s="234"/>
    </row>
    <row r="166" spans="3:5" ht="15.75" customHeight="1">
      <c r="C166" s="70" t="s">
        <v>519</v>
      </c>
      <c r="D166" s="70" t="s">
        <v>520</v>
      </c>
      <c r="E166" s="19">
        <v>4.1666666666666669E-4</v>
      </c>
    </row>
    <row r="167" spans="3:5" ht="15.75" customHeight="1">
      <c r="C167" s="243"/>
      <c r="D167" s="234"/>
      <c r="E167" s="234"/>
    </row>
    <row r="168" spans="3:5" ht="15.75" customHeight="1" collapsed="1">
      <c r="C168" s="139" t="s">
        <v>521</v>
      </c>
      <c r="D168" s="209">
        <f>SUM(E169:E171)</f>
        <v>6.9444444444444444E-5</v>
      </c>
      <c r="E168" s="235"/>
    </row>
    <row r="169" spans="3:5" ht="15.75" hidden="1" customHeight="1" outlineLevel="1">
      <c r="C169" s="100" t="s">
        <v>522</v>
      </c>
      <c r="D169" s="70" t="s">
        <v>523</v>
      </c>
      <c r="E169" s="19">
        <v>1.1574074074074073E-5</v>
      </c>
    </row>
    <row r="170" spans="3:5" ht="15.75" hidden="1" customHeight="1" outlineLevel="1">
      <c r="C170" s="100" t="s">
        <v>29</v>
      </c>
      <c r="D170" s="70" t="s">
        <v>524</v>
      </c>
      <c r="E170" s="19">
        <v>3.4722222222222222E-5</v>
      </c>
    </row>
    <row r="171" spans="3:5" ht="15.75" hidden="1" customHeight="1" outlineLevel="1">
      <c r="C171" s="100" t="s">
        <v>400</v>
      </c>
      <c r="D171" s="70" t="s">
        <v>525</v>
      </c>
      <c r="E171" s="19">
        <v>2.3148148148148147E-5</v>
      </c>
    </row>
    <row r="172" spans="3:5" ht="15.75" customHeight="1">
      <c r="C172" s="243"/>
      <c r="D172" s="234"/>
      <c r="E172" s="234"/>
    </row>
    <row r="173" spans="3:5" ht="15.75" customHeight="1" collapsed="1">
      <c r="C173" s="136" t="s">
        <v>526</v>
      </c>
      <c r="D173" s="205">
        <f>SUM(E174,D175,E178,D179,D185)</f>
        <v>1.2847222222222223E-3</v>
      </c>
      <c r="E173" s="235"/>
    </row>
    <row r="174" spans="3:5" ht="15.75" hidden="1" customHeight="1" outlineLevel="1">
      <c r="C174" s="140" t="s">
        <v>527</v>
      </c>
      <c r="D174" s="70" t="s">
        <v>528</v>
      </c>
      <c r="E174" s="73">
        <v>5.7870370370370373E-5</v>
      </c>
    </row>
    <row r="175" spans="3:5" ht="15.75" hidden="1" customHeight="1" outlineLevel="1">
      <c r="C175" s="137" t="s">
        <v>506</v>
      </c>
      <c r="D175" s="192">
        <f>SUM(E176:E177)</f>
        <v>2.5462962962962961E-4</v>
      </c>
      <c r="E175" s="235"/>
    </row>
    <row r="176" spans="3:5" ht="15.75" hidden="1" customHeight="1" outlineLevel="2">
      <c r="C176" s="138" t="s">
        <v>132</v>
      </c>
      <c r="D176" s="70" t="s">
        <v>529</v>
      </c>
      <c r="E176" s="19">
        <v>1.3888888888888889E-4</v>
      </c>
    </row>
    <row r="177" spans="3:5" ht="15.75" hidden="1" customHeight="1" outlineLevel="2">
      <c r="C177" s="138" t="s">
        <v>174</v>
      </c>
      <c r="D177" s="70" t="s">
        <v>530</v>
      </c>
      <c r="E177" s="19">
        <v>1.1574074074074075E-4</v>
      </c>
    </row>
    <row r="178" spans="3:5" ht="15.75" hidden="1" customHeight="1" outlineLevel="1">
      <c r="C178" s="137" t="s">
        <v>509</v>
      </c>
      <c r="D178" s="70" t="s">
        <v>531</v>
      </c>
      <c r="E178" s="73">
        <v>3.4722222222222222E-5</v>
      </c>
    </row>
    <row r="179" spans="3:5" ht="15.75" hidden="1" customHeight="1" outlineLevel="1">
      <c r="C179" s="100" t="s">
        <v>511</v>
      </c>
      <c r="D179" s="192">
        <f>SUM(E180,D181,E184)</f>
        <v>4.7453703703703698E-4</v>
      </c>
      <c r="E179" s="235"/>
    </row>
    <row r="180" spans="3:5" ht="15.75" hidden="1" customHeight="1" outlineLevel="2">
      <c r="C180" s="70" t="s">
        <v>177</v>
      </c>
      <c r="D180" s="70" t="s">
        <v>532</v>
      </c>
      <c r="E180" s="19">
        <v>9.2592592592592588E-5</v>
      </c>
    </row>
    <row r="181" spans="3:5" ht="15.75" hidden="1" customHeight="1" outlineLevel="2">
      <c r="C181" s="70" t="s">
        <v>189</v>
      </c>
      <c r="D181" s="202">
        <f>SUM(E182:E183)</f>
        <v>2.4305555555555555E-4</v>
      </c>
      <c r="E181" s="235"/>
    </row>
    <row r="182" spans="3:5" ht="15.75" hidden="1" customHeight="1" outlineLevel="3">
      <c r="C182" s="100" t="s">
        <v>132</v>
      </c>
      <c r="D182" s="70" t="s">
        <v>533</v>
      </c>
      <c r="E182" s="19">
        <v>1.3888888888888889E-4</v>
      </c>
    </row>
    <row r="183" spans="3:5" ht="15.75" hidden="1" customHeight="1" outlineLevel="3">
      <c r="C183" s="100" t="s">
        <v>174</v>
      </c>
      <c r="D183" s="70" t="s">
        <v>534</v>
      </c>
      <c r="E183" s="19">
        <v>1.0416666666666667E-4</v>
      </c>
    </row>
    <row r="184" spans="3:5" ht="15.75" hidden="1" customHeight="1" outlineLevel="2">
      <c r="C184" s="70" t="s">
        <v>212</v>
      </c>
      <c r="D184" s="70" t="s">
        <v>535</v>
      </c>
      <c r="E184" s="19">
        <v>1.3888888888888889E-4</v>
      </c>
    </row>
    <row r="185" spans="3:5" ht="15.75" hidden="1" customHeight="1" outlineLevel="1">
      <c r="C185" s="141" t="s">
        <v>536</v>
      </c>
      <c r="D185" s="192">
        <f>SUM(E186,E188)</f>
        <v>4.6296296296296298E-4</v>
      </c>
      <c r="E185" s="235"/>
    </row>
    <row r="186" spans="3:5" ht="15.75" hidden="1" customHeight="1" outlineLevel="2">
      <c r="C186" s="70" t="s">
        <v>132</v>
      </c>
      <c r="D186" s="70" t="s">
        <v>537</v>
      </c>
      <c r="E186" s="19">
        <v>2.0833333333333335E-4</v>
      </c>
    </row>
    <row r="187" spans="3:5" ht="15.75" hidden="1" customHeight="1" outlineLevel="2">
      <c r="C187" s="70" t="s">
        <v>538</v>
      </c>
      <c r="D187" s="70" t="s">
        <v>539</v>
      </c>
      <c r="E187" s="69" t="s">
        <v>540</v>
      </c>
    </row>
    <row r="188" spans="3:5" ht="15.75" hidden="1" customHeight="1" outlineLevel="2">
      <c r="C188" s="70" t="s">
        <v>143</v>
      </c>
      <c r="D188" s="70" t="s">
        <v>541</v>
      </c>
      <c r="E188" s="19">
        <v>2.5462962962962961E-4</v>
      </c>
    </row>
    <row r="189" spans="3:5" ht="15.75" hidden="1" customHeight="1" outlineLevel="2">
      <c r="C189" s="72" t="s">
        <v>542</v>
      </c>
      <c r="D189" s="70" t="s">
        <v>543</v>
      </c>
      <c r="E189" s="69" t="s">
        <v>544</v>
      </c>
    </row>
    <row r="190" spans="3:5" ht="15.75" customHeight="1">
      <c r="C190" s="243"/>
      <c r="D190" s="234"/>
      <c r="E190" s="234"/>
    </row>
    <row r="191" spans="3:5" ht="15.75" customHeight="1">
      <c r="C191" s="72" t="s">
        <v>545</v>
      </c>
      <c r="D191" s="70" t="s">
        <v>546</v>
      </c>
      <c r="E191" s="19">
        <v>4.6296296296296294E-5</v>
      </c>
    </row>
    <row r="192" spans="3:5" ht="15.75" customHeight="1">
      <c r="C192" s="243"/>
      <c r="D192" s="234"/>
      <c r="E192" s="234"/>
    </row>
    <row r="193" spans="3:5" ht="15.75" customHeight="1" collapsed="1">
      <c r="C193" s="142" t="s">
        <v>547</v>
      </c>
      <c r="D193" s="210">
        <f>SUM(D194,D197,D200,D203)</f>
        <v>1.4930555555555556E-3</v>
      </c>
      <c r="E193" s="235"/>
    </row>
    <row r="194" spans="3:5" ht="15.75" hidden="1" customHeight="1" outlineLevel="1" collapsed="1">
      <c r="C194" s="100" t="s">
        <v>177</v>
      </c>
      <c r="D194" s="192">
        <f>SUM(E195:E196)</f>
        <v>2.4305555555555555E-4</v>
      </c>
      <c r="E194" s="235"/>
    </row>
    <row r="195" spans="3:5" ht="15.75" hidden="1" customHeight="1" outlineLevel="2">
      <c r="C195" s="70" t="s">
        <v>548</v>
      </c>
      <c r="D195" s="70" t="s">
        <v>549</v>
      </c>
      <c r="E195" s="19">
        <v>1.1574074074074075E-4</v>
      </c>
    </row>
    <row r="196" spans="3:5" ht="15.75" hidden="1" customHeight="1" outlineLevel="2">
      <c r="C196" s="70" t="s">
        <v>550</v>
      </c>
      <c r="D196" s="70" t="s">
        <v>551</v>
      </c>
      <c r="E196" s="19">
        <v>1.273148148148148E-4</v>
      </c>
    </row>
    <row r="197" spans="3:5" ht="15.75" hidden="1" customHeight="1" outlineLevel="1">
      <c r="C197" s="100" t="s">
        <v>121</v>
      </c>
      <c r="D197" s="192">
        <f>SUM(E198:E199)</f>
        <v>2.1990740740740738E-4</v>
      </c>
      <c r="E197" s="235"/>
    </row>
    <row r="198" spans="3:5" ht="15.75" hidden="1" customHeight="1" outlineLevel="2">
      <c r="C198" s="70" t="s">
        <v>548</v>
      </c>
      <c r="D198" s="70" t="s">
        <v>552</v>
      </c>
      <c r="E198" s="19">
        <v>9.2592592592592588E-5</v>
      </c>
    </row>
    <row r="199" spans="3:5" ht="15.75" hidden="1" customHeight="1" outlineLevel="2">
      <c r="C199" s="70" t="s">
        <v>550</v>
      </c>
      <c r="D199" s="70" t="s">
        <v>553</v>
      </c>
      <c r="E199" s="19">
        <v>1.273148148148148E-4</v>
      </c>
    </row>
    <row r="200" spans="3:5" ht="15.75" hidden="1" customHeight="1" outlineLevel="1" collapsed="1">
      <c r="C200" s="100" t="s">
        <v>308</v>
      </c>
      <c r="D200" s="192">
        <f>SUM(E201:E202)</f>
        <v>7.4074074074074081E-4</v>
      </c>
      <c r="E200" s="235"/>
    </row>
    <row r="201" spans="3:5" ht="15.75" hidden="1" customHeight="1" outlineLevel="2">
      <c r="C201" s="70" t="s">
        <v>548</v>
      </c>
      <c r="D201" s="70" t="s">
        <v>554</v>
      </c>
      <c r="E201" s="19">
        <v>3.9351851851851852E-4</v>
      </c>
    </row>
    <row r="202" spans="3:5" ht="15.75" hidden="1" customHeight="1" outlineLevel="2">
      <c r="C202" s="70" t="s">
        <v>550</v>
      </c>
      <c r="D202" s="70" t="s">
        <v>555</v>
      </c>
      <c r="E202" s="19">
        <v>3.4722222222222224E-4</v>
      </c>
    </row>
    <row r="203" spans="3:5" ht="15.75" hidden="1" customHeight="1" outlineLevel="1" collapsed="1">
      <c r="C203" s="100" t="s">
        <v>556</v>
      </c>
      <c r="D203" s="192">
        <f>SUM(E204:E205)</f>
        <v>2.8935185185185184E-4</v>
      </c>
      <c r="E203" s="235"/>
    </row>
    <row r="204" spans="3:5" ht="15.75" hidden="1" customHeight="1" outlineLevel="2">
      <c r="C204" s="70" t="s">
        <v>548</v>
      </c>
      <c r="D204" s="70" t="s">
        <v>557</v>
      </c>
      <c r="E204" s="19">
        <v>1.6203703703703703E-4</v>
      </c>
    </row>
    <row r="205" spans="3:5" ht="15.75" hidden="1" customHeight="1" outlineLevel="2">
      <c r="C205" s="70" t="s">
        <v>550</v>
      </c>
      <c r="D205" s="70" t="s">
        <v>558</v>
      </c>
      <c r="E205" s="19">
        <v>1.273148148148148E-4</v>
      </c>
    </row>
    <row r="206" spans="3:5" ht="15.75" customHeight="1">
      <c r="C206" s="1"/>
      <c r="D206" s="70"/>
      <c r="E206" s="69"/>
    </row>
    <row r="207" spans="3:5" ht="15.75" customHeight="1">
      <c r="C207" s="72" t="s">
        <v>545</v>
      </c>
      <c r="D207" s="70" t="s">
        <v>559</v>
      </c>
      <c r="E207" s="19">
        <v>5.7870370370370373E-5</v>
      </c>
    </row>
    <row r="208" spans="3:5" ht="15.75" customHeight="1">
      <c r="C208" s="243"/>
      <c r="D208" s="234"/>
      <c r="E208" s="234"/>
    </row>
    <row r="209" spans="3:5" ht="15.75" customHeight="1" collapsed="1">
      <c r="C209" s="143" t="s">
        <v>560</v>
      </c>
      <c r="D209" s="227">
        <f>SUM(D210,D214,D218,D222,E225,E226)</f>
        <v>2.4421296296296296E-3</v>
      </c>
      <c r="E209" s="235"/>
    </row>
    <row r="210" spans="3:5" ht="15.75" hidden="1" customHeight="1" outlineLevel="1" collapsed="1">
      <c r="C210" s="100" t="s">
        <v>177</v>
      </c>
      <c r="D210" s="202">
        <f>SUM(E211:E213)</f>
        <v>3.3564814814814818E-4</v>
      </c>
      <c r="E210" s="235"/>
    </row>
    <row r="211" spans="3:5" ht="15.75" hidden="1" customHeight="1" outlineLevel="2">
      <c r="C211" s="70" t="s">
        <v>548</v>
      </c>
      <c r="D211" s="244" t="s">
        <v>561</v>
      </c>
      <c r="E211" s="207">
        <v>2.3148148148148149E-4</v>
      </c>
    </row>
    <row r="212" spans="3:5" ht="15.75" hidden="1" customHeight="1" outlineLevel="2">
      <c r="C212" s="70" t="s">
        <v>550</v>
      </c>
      <c r="D212" s="247"/>
      <c r="E212" s="235"/>
    </row>
    <row r="213" spans="3:5" ht="15.75" hidden="1" customHeight="1" outlineLevel="2">
      <c r="C213" s="70" t="s">
        <v>562</v>
      </c>
      <c r="D213" s="70" t="s">
        <v>563</v>
      </c>
      <c r="E213" s="19">
        <v>1.0416666666666667E-4</v>
      </c>
    </row>
    <row r="214" spans="3:5" ht="15.75" hidden="1" customHeight="1" outlineLevel="1" collapsed="1">
      <c r="C214" s="100" t="s">
        <v>236</v>
      </c>
      <c r="D214" s="192">
        <f>SUM(E215:E217)</f>
        <v>2.0833333333333332E-4</v>
      </c>
      <c r="E214" s="235"/>
    </row>
    <row r="215" spans="3:5" ht="15.75" hidden="1" customHeight="1" outlineLevel="2">
      <c r="C215" s="70" t="s">
        <v>548</v>
      </c>
      <c r="D215" s="70" t="s">
        <v>564</v>
      </c>
      <c r="E215" s="19">
        <v>9.2592592592592588E-5</v>
      </c>
    </row>
    <row r="216" spans="3:5" ht="15.75" hidden="1" customHeight="1" outlineLevel="2">
      <c r="C216" s="70" t="s">
        <v>550</v>
      </c>
      <c r="D216" s="70" t="s">
        <v>565</v>
      </c>
      <c r="E216" s="19">
        <v>9.2592592592592588E-5</v>
      </c>
    </row>
    <row r="217" spans="3:5" ht="15.75" hidden="1" customHeight="1" outlineLevel="2">
      <c r="C217" s="70" t="s">
        <v>562</v>
      </c>
      <c r="D217" s="70" t="s">
        <v>566</v>
      </c>
      <c r="E217" s="19">
        <v>2.3148148148148147E-5</v>
      </c>
    </row>
    <row r="218" spans="3:5" ht="15.75" hidden="1" customHeight="1" outlineLevel="1" collapsed="1">
      <c r="C218" s="100" t="s">
        <v>308</v>
      </c>
      <c r="D218" s="192">
        <f>SUM(E219:E221)</f>
        <v>3.5879629629629629E-4</v>
      </c>
      <c r="E218" s="235"/>
    </row>
    <row r="219" spans="3:5" ht="15.75" hidden="1" customHeight="1" outlineLevel="2">
      <c r="C219" s="70" t="s">
        <v>548</v>
      </c>
      <c r="D219" s="70" t="s">
        <v>567</v>
      </c>
      <c r="E219" s="19">
        <v>8.1018518518518516E-5</v>
      </c>
    </row>
    <row r="220" spans="3:5" ht="15.75" hidden="1" customHeight="1" outlineLevel="2">
      <c r="C220" s="70" t="s">
        <v>550</v>
      </c>
      <c r="D220" s="70" t="s">
        <v>568</v>
      </c>
      <c r="E220" s="19">
        <v>2.5462962962962961E-4</v>
      </c>
    </row>
    <row r="221" spans="3:5" ht="15.75" hidden="1" customHeight="1" outlineLevel="2">
      <c r="C221" s="70" t="s">
        <v>562</v>
      </c>
      <c r="D221" s="70" t="s">
        <v>569</v>
      </c>
      <c r="E221" s="19">
        <v>2.3148148148148147E-5</v>
      </c>
    </row>
    <row r="222" spans="3:5" ht="15.75" hidden="1" customHeight="1" outlineLevel="1" collapsed="1">
      <c r="C222" s="100" t="s">
        <v>570</v>
      </c>
      <c r="D222" s="192">
        <f>SUM(E223:E224)</f>
        <v>2.1990740740740743E-4</v>
      </c>
      <c r="E222" s="235"/>
    </row>
    <row r="223" spans="3:5" ht="15.75" hidden="1" customHeight="1" outlineLevel="2">
      <c r="C223" s="70" t="s">
        <v>132</v>
      </c>
      <c r="D223" s="70" t="s">
        <v>571</v>
      </c>
      <c r="E223" s="19">
        <v>1.1574074074074075E-4</v>
      </c>
    </row>
    <row r="224" spans="3:5" ht="15.75" hidden="1" customHeight="1" outlineLevel="2">
      <c r="C224" s="70" t="s">
        <v>174</v>
      </c>
      <c r="D224" s="70" t="s">
        <v>572</v>
      </c>
      <c r="E224" s="19">
        <v>1.0416666666666667E-4</v>
      </c>
    </row>
    <row r="225" spans="3:5" ht="15.75" hidden="1" customHeight="1" outlineLevel="1">
      <c r="C225" s="100" t="s">
        <v>24</v>
      </c>
      <c r="D225" s="70" t="s">
        <v>573</v>
      </c>
      <c r="E225" s="73">
        <v>7.6388888888888893E-4</v>
      </c>
    </row>
    <row r="226" spans="3:5" ht="15.75" hidden="1" customHeight="1" outlineLevel="1">
      <c r="C226" s="100" t="s">
        <v>574</v>
      </c>
      <c r="D226" s="70" t="s">
        <v>575</v>
      </c>
      <c r="E226" s="73">
        <v>5.5555555555555556E-4</v>
      </c>
    </row>
    <row r="227" spans="3:5" ht="15.75" customHeight="1">
      <c r="C227" s="228" t="s">
        <v>576</v>
      </c>
      <c r="D227" s="234"/>
      <c r="E227" s="234"/>
    </row>
    <row r="228" spans="3:5" ht="15.75" customHeight="1" collapsed="1">
      <c r="C228" s="144" t="s">
        <v>357</v>
      </c>
      <c r="D228" s="215">
        <f>SUM(D229,E232,E233)</f>
        <v>2.4305555555555555E-4</v>
      </c>
      <c r="E228" s="235"/>
    </row>
    <row r="229" spans="3:5" ht="15.75" hidden="1" customHeight="1" outlineLevel="1">
      <c r="C229" s="100" t="s">
        <v>358</v>
      </c>
      <c r="D229" s="192">
        <f>SUM(E230:E231)</f>
        <v>5.7870370370370366E-5</v>
      </c>
      <c r="E229" s="235"/>
    </row>
    <row r="230" spans="3:5" ht="15.75" hidden="1" customHeight="1" outlineLevel="2">
      <c r="C230" s="70" t="s">
        <v>132</v>
      </c>
      <c r="D230" s="70" t="s">
        <v>577</v>
      </c>
      <c r="E230" s="19">
        <v>1.1574074074074073E-5</v>
      </c>
    </row>
    <row r="231" spans="3:5" ht="15.75" hidden="1" customHeight="1" outlineLevel="2">
      <c r="C231" s="70" t="s">
        <v>174</v>
      </c>
      <c r="D231" s="70" t="s">
        <v>578</v>
      </c>
      <c r="E231" s="19">
        <v>4.6296296296296294E-5</v>
      </c>
    </row>
    <row r="232" spans="3:5" ht="15.75" hidden="1" customHeight="1" outlineLevel="1">
      <c r="C232" s="141" t="s">
        <v>579</v>
      </c>
      <c r="D232" s="70" t="s">
        <v>399</v>
      </c>
      <c r="E232" s="73">
        <v>3.4722222222222222E-5</v>
      </c>
    </row>
    <row r="233" spans="3:5" ht="15.75" hidden="1" customHeight="1" outlineLevel="1">
      <c r="C233" s="141" t="s">
        <v>580</v>
      </c>
      <c r="D233" s="70" t="s">
        <v>581</v>
      </c>
      <c r="E233" s="73">
        <v>1.5046296296296297E-4</v>
      </c>
    </row>
    <row r="234" spans="3:5" ht="15.75" customHeight="1">
      <c r="C234" s="243"/>
      <c r="D234" s="234"/>
      <c r="E234" s="234"/>
    </row>
    <row r="235" spans="3:5" ht="15.75" customHeight="1">
      <c r="C235" s="145" t="s">
        <v>443</v>
      </c>
      <c r="D235" s="218">
        <f>SUM(E236:E239)</f>
        <v>3.5879629629629629E-4</v>
      </c>
      <c r="E235" s="234"/>
    </row>
    <row r="236" spans="3:5" ht="15.75" customHeight="1" outlineLevel="1">
      <c r="C236" s="100" t="s">
        <v>444</v>
      </c>
      <c r="D236" s="70" t="s">
        <v>582</v>
      </c>
      <c r="E236" s="73">
        <v>8.1018518518518516E-5</v>
      </c>
    </row>
    <row r="237" spans="3:5" ht="15.75" customHeight="1" outlineLevel="1">
      <c r="C237" s="100" t="s">
        <v>454</v>
      </c>
      <c r="D237" s="70" t="s">
        <v>583</v>
      </c>
      <c r="E237" s="73">
        <v>3.4722222222222222E-5</v>
      </c>
    </row>
    <row r="238" spans="3:5" ht="15.75" customHeight="1" outlineLevel="1">
      <c r="C238" s="100" t="s">
        <v>478</v>
      </c>
      <c r="D238" s="70" t="s">
        <v>584</v>
      </c>
      <c r="E238" s="73">
        <v>1.8518518518518518E-4</v>
      </c>
    </row>
    <row r="239" spans="3:5" ht="15.75" customHeight="1" outlineLevel="1">
      <c r="C239" s="100" t="s">
        <v>480</v>
      </c>
      <c r="D239" s="70" t="s">
        <v>585</v>
      </c>
      <c r="E239" s="73">
        <v>5.7870370370370373E-5</v>
      </c>
    </row>
    <row r="240" spans="3:5" ht="15.75" customHeight="1">
      <c r="C240" s="243"/>
      <c r="D240" s="234"/>
      <c r="E240" s="234"/>
    </row>
    <row r="241" spans="1:5" ht="15.75" customHeight="1">
      <c r="C241" s="146" t="s">
        <v>491</v>
      </c>
      <c r="D241" s="252" t="s">
        <v>18</v>
      </c>
      <c r="E241" s="235"/>
    </row>
    <row r="242" spans="1:5" ht="15.75" customHeight="1">
      <c r="C242" s="246"/>
      <c r="D242" s="234"/>
      <c r="E242" s="234"/>
    </row>
    <row r="243" spans="1:5" ht="15.75" customHeight="1">
      <c r="C243" s="147" t="s">
        <v>34</v>
      </c>
      <c r="D243" s="148">
        <v>1.5266203703703704E-2</v>
      </c>
      <c r="E243" s="149">
        <f>SUM(D136,D139,D150,E166,D168,D173,E191,D193,E207,D209,D228,D235,D242)</f>
        <v>8.8425925925925929E-3</v>
      </c>
    </row>
    <row r="244" spans="1:5" ht="15.75" customHeight="1">
      <c r="C244" s="1"/>
      <c r="D244" s="243" t="s">
        <v>586</v>
      </c>
      <c r="E244" s="234"/>
    </row>
    <row r="245" spans="1:5" ht="15.75" customHeight="1"/>
    <row r="246" spans="1:5" ht="15.75" customHeight="1">
      <c r="A246" s="150" t="s">
        <v>587</v>
      </c>
      <c r="B246" s="151" t="s">
        <v>588</v>
      </c>
      <c r="C246" s="152" t="s">
        <v>589</v>
      </c>
    </row>
    <row r="247" spans="1:5" ht="15.75" customHeight="1">
      <c r="A247" s="153" t="s">
        <v>590</v>
      </c>
      <c r="B247" s="154">
        <f>SUM(B28,H28)/2</f>
        <v>7.152777777777777E-3</v>
      </c>
      <c r="C247" s="155">
        <v>2</v>
      </c>
    </row>
    <row r="248" spans="1:5" ht="15.75" customHeight="1">
      <c r="A248" s="156" t="s">
        <v>591</v>
      </c>
      <c r="B248" s="50">
        <f>SUM(K28,P28,E130)/3</f>
        <v>6.238425925925925E-3</v>
      </c>
      <c r="C248" s="157">
        <v>3</v>
      </c>
    </row>
    <row r="249" spans="1:5" ht="15.75" customHeight="1">
      <c r="A249" s="158" t="s">
        <v>592</v>
      </c>
      <c r="B249" s="50">
        <f>SUM(C28,M28)/2</f>
        <v>1.2314814814814813E-2</v>
      </c>
      <c r="C249" s="157">
        <v>2</v>
      </c>
    </row>
    <row r="250" spans="1:5" ht="15.75" customHeight="1">
      <c r="A250" s="159" t="s">
        <v>593</v>
      </c>
      <c r="B250" s="50">
        <f>SUM(F28,G28)/2</f>
        <v>7.3379629629629628E-3</v>
      </c>
      <c r="C250" s="157">
        <v>2</v>
      </c>
    </row>
    <row r="251" spans="1:5" ht="15.75" customHeight="1">
      <c r="A251" s="160" t="s">
        <v>594</v>
      </c>
      <c r="B251" s="50">
        <f>SUM(D28,E28,B130)/3</f>
        <v>8.5223765432098763E-3</v>
      </c>
      <c r="C251" s="157">
        <v>3</v>
      </c>
      <c r="E251" s="1"/>
    </row>
    <row r="252" spans="1:5" ht="15.75" customHeight="1">
      <c r="A252" s="161" t="s">
        <v>8</v>
      </c>
      <c r="B252" s="50">
        <f>I28</f>
        <v>5.138888888888889E-3</v>
      </c>
      <c r="C252" s="157">
        <v>1</v>
      </c>
    </row>
    <row r="253" spans="1:5" ht="15.75" customHeight="1">
      <c r="A253" s="162" t="s">
        <v>595</v>
      </c>
      <c r="B253" s="50">
        <f>L28</f>
        <v>4.0046296296296297E-3</v>
      </c>
      <c r="C253" s="157">
        <v>1</v>
      </c>
    </row>
    <row r="254" spans="1:5" ht="15.75" customHeight="1">
      <c r="A254" s="163" t="s">
        <v>596</v>
      </c>
      <c r="B254" s="50">
        <f>O28</f>
        <v>7.951388888888888E-3</v>
      </c>
      <c r="C254" s="157">
        <v>1</v>
      </c>
    </row>
    <row r="255" spans="1:5" ht="15.75" customHeight="1">
      <c r="A255" s="164" t="s">
        <v>597</v>
      </c>
      <c r="B255" s="165">
        <f>Q28</f>
        <v>9.5254629629629595E-3</v>
      </c>
      <c r="C255" s="166">
        <v>1</v>
      </c>
    </row>
    <row r="256" spans="1:5" ht="15.75" customHeight="1">
      <c r="A256" s="167" t="s">
        <v>598</v>
      </c>
      <c r="B256" s="168">
        <f>G130</f>
        <v>3.8425925925925923E-3</v>
      </c>
      <c r="C256" s="169">
        <v>1</v>
      </c>
    </row>
    <row r="257" spans="1:3" ht="15.75" customHeight="1">
      <c r="A257" s="170" t="s">
        <v>599</v>
      </c>
      <c r="B257" s="171">
        <f>E243</f>
        <v>8.8425925925925929E-3</v>
      </c>
      <c r="C257" s="157">
        <v>1</v>
      </c>
    </row>
    <row r="258" spans="1:3" ht="15.75" customHeight="1">
      <c r="A258" s="170" t="s">
        <v>600</v>
      </c>
      <c r="B258" s="50">
        <f>MEDIAN(AC130,AE130,AG130)</f>
        <v>0</v>
      </c>
      <c r="C258" s="157">
        <v>3</v>
      </c>
    </row>
    <row r="259" spans="1:3" ht="15.75" customHeight="1">
      <c r="A259" s="172" t="s">
        <v>601</v>
      </c>
      <c r="B259" s="173">
        <f>MEDIAN(W130,Y130,AA130)</f>
        <v>0</v>
      </c>
      <c r="C259" s="174">
        <v>3</v>
      </c>
    </row>
    <row r="260" spans="1:3" ht="15.75" customHeight="1"/>
    <row r="261" spans="1:3" ht="15.75" customHeight="1"/>
    <row r="262" spans="1:3" ht="15.75" customHeight="1"/>
    <row r="263" spans="1:3" ht="15.75" customHeight="1"/>
    <row r="264" spans="1:3" ht="15.75" customHeight="1"/>
    <row r="265" spans="1:3" ht="15.75" customHeight="1"/>
    <row r="266" spans="1:3" ht="15.75" customHeight="1"/>
    <row r="267" spans="1:3" ht="15.75" customHeight="1"/>
    <row r="268" spans="1:3" ht="15.75" customHeight="1"/>
    <row r="269" spans="1:3" ht="15.75" customHeight="1"/>
    <row r="270" spans="1:3" ht="15.75" customHeight="1"/>
    <row r="271" spans="1:3" ht="15.75" customHeight="1"/>
    <row r="272" spans="1:3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02">
    <mergeCell ref="D235:E235"/>
    <mergeCell ref="C240:E240"/>
    <mergeCell ref="D241:E241"/>
    <mergeCell ref="C242:E242"/>
    <mergeCell ref="D244:E244"/>
    <mergeCell ref="E211:E212"/>
    <mergeCell ref="D214:E214"/>
    <mergeCell ref="D218:E218"/>
    <mergeCell ref="D222:E222"/>
    <mergeCell ref="C227:E227"/>
    <mergeCell ref="D228:E228"/>
    <mergeCell ref="D229:E229"/>
    <mergeCell ref="D194:E194"/>
    <mergeCell ref="D197:E197"/>
    <mergeCell ref="D200:E200"/>
    <mergeCell ref="D203:E203"/>
    <mergeCell ref="C208:E208"/>
    <mergeCell ref="D209:E209"/>
    <mergeCell ref="D210:E210"/>
    <mergeCell ref="D211:D212"/>
    <mergeCell ref="C234:E234"/>
    <mergeCell ref="C172:E172"/>
    <mergeCell ref="D173:E173"/>
    <mergeCell ref="D175:E175"/>
    <mergeCell ref="D179:E179"/>
    <mergeCell ref="D181:E181"/>
    <mergeCell ref="D185:E185"/>
    <mergeCell ref="C190:E190"/>
    <mergeCell ref="C192:E192"/>
    <mergeCell ref="D193:E193"/>
    <mergeCell ref="AD127:AE127"/>
    <mergeCell ref="AF127:AG127"/>
    <mergeCell ref="X127:Y127"/>
    <mergeCell ref="Z127:AA127"/>
    <mergeCell ref="AD120:AD121"/>
    <mergeCell ref="AE120:AE121"/>
    <mergeCell ref="C165:E165"/>
    <mergeCell ref="C167:E167"/>
    <mergeCell ref="D168:E168"/>
    <mergeCell ref="D161:E161"/>
    <mergeCell ref="D150:E150"/>
    <mergeCell ref="D151:E151"/>
    <mergeCell ref="D155:E155"/>
    <mergeCell ref="C138:E138"/>
    <mergeCell ref="D139:E139"/>
    <mergeCell ref="D140:E140"/>
    <mergeCell ref="D143:E143"/>
    <mergeCell ref="D146:E146"/>
    <mergeCell ref="C149:E149"/>
    <mergeCell ref="B109:C109"/>
    <mergeCell ref="D109:E109"/>
    <mergeCell ref="F109:G109"/>
    <mergeCell ref="H109:I109"/>
    <mergeCell ref="J109:K109"/>
    <mergeCell ref="L109:M109"/>
    <mergeCell ref="N109:O109"/>
    <mergeCell ref="AB119:AC119"/>
    <mergeCell ref="AD119:AE119"/>
    <mergeCell ref="AD109:AE109"/>
    <mergeCell ref="R115:S115"/>
    <mergeCell ref="T115:U115"/>
    <mergeCell ref="V115:W115"/>
    <mergeCell ref="X115:Y115"/>
    <mergeCell ref="N119:O119"/>
    <mergeCell ref="P119:Q119"/>
    <mergeCell ref="R119:S119"/>
    <mergeCell ref="T119:U119"/>
    <mergeCell ref="V119:W119"/>
    <mergeCell ref="X119:Y119"/>
    <mergeCell ref="Z119:AA119"/>
    <mergeCell ref="AF109:AG109"/>
    <mergeCell ref="P109:Q109"/>
    <mergeCell ref="R109:S109"/>
    <mergeCell ref="T109:U109"/>
    <mergeCell ref="V109:W109"/>
    <mergeCell ref="X109:Y109"/>
    <mergeCell ref="Z109:AA109"/>
    <mergeCell ref="AB109:AC109"/>
    <mergeCell ref="D103:E103"/>
    <mergeCell ref="F103:G103"/>
    <mergeCell ref="H103:I103"/>
    <mergeCell ref="J103:K103"/>
    <mergeCell ref="A107:O107"/>
    <mergeCell ref="AB108:AC108"/>
    <mergeCell ref="AD108:AE108"/>
    <mergeCell ref="AF108:AG108"/>
    <mergeCell ref="N108:O108"/>
    <mergeCell ref="P108:Q108"/>
    <mergeCell ref="R108:S108"/>
    <mergeCell ref="T108:U108"/>
    <mergeCell ref="V108:W108"/>
    <mergeCell ref="X108:Y108"/>
    <mergeCell ref="Z108:AA108"/>
    <mergeCell ref="B103:C103"/>
    <mergeCell ref="B108:C108"/>
    <mergeCell ref="D108:E108"/>
    <mergeCell ref="F108:G108"/>
    <mergeCell ref="H108:I108"/>
    <mergeCell ref="J108:K108"/>
    <mergeCell ref="L108:M108"/>
    <mergeCell ref="AB103:AC103"/>
    <mergeCell ref="AD103:AE103"/>
    <mergeCell ref="AF103:AG103"/>
    <mergeCell ref="L103:M103"/>
    <mergeCell ref="N103:O103"/>
    <mergeCell ref="P103:Q103"/>
    <mergeCell ref="R103:S103"/>
    <mergeCell ref="T103:U103"/>
    <mergeCell ref="V103:W103"/>
    <mergeCell ref="X103:Y103"/>
    <mergeCell ref="H101:I101"/>
    <mergeCell ref="J101:K101"/>
    <mergeCell ref="L101:M101"/>
    <mergeCell ref="P101:P102"/>
    <mergeCell ref="Q101:Q102"/>
    <mergeCell ref="R101:R102"/>
    <mergeCell ref="S101:S102"/>
    <mergeCell ref="L102:M102"/>
    <mergeCell ref="Z103:AA103"/>
    <mergeCell ref="H102:I102"/>
    <mergeCell ref="J102:K102"/>
    <mergeCell ref="AA101:AA102"/>
    <mergeCell ref="AB101:AB102"/>
    <mergeCell ref="AC101:AC102"/>
    <mergeCell ref="AD101:AD102"/>
    <mergeCell ref="AE101:AE102"/>
    <mergeCell ref="AF101:AF102"/>
    <mergeCell ref="AG101:AG102"/>
    <mergeCell ref="T101:T102"/>
    <mergeCell ref="U101:U102"/>
    <mergeCell ref="V101:V102"/>
    <mergeCell ref="W101:W102"/>
    <mergeCell ref="X101:X102"/>
    <mergeCell ref="Y101:Y102"/>
    <mergeCell ref="Z101:Z102"/>
    <mergeCell ref="P94:P95"/>
    <mergeCell ref="Q94:Q95"/>
    <mergeCell ref="R94:R95"/>
    <mergeCell ref="S94:S95"/>
    <mergeCell ref="T94:T95"/>
    <mergeCell ref="AB97:AC97"/>
    <mergeCell ref="AD97:AE97"/>
    <mergeCell ref="AF97:AG97"/>
    <mergeCell ref="B98:C98"/>
    <mergeCell ref="D98:E98"/>
    <mergeCell ref="F98:G98"/>
    <mergeCell ref="H98:I98"/>
    <mergeCell ref="J98:K98"/>
    <mergeCell ref="L98:M98"/>
    <mergeCell ref="N98:O98"/>
    <mergeCell ref="AD98:AE98"/>
    <mergeCell ref="AF98:AG98"/>
    <mergeCell ref="P98:Q98"/>
    <mergeCell ref="R98:S98"/>
    <mergeCell ref="T98:U98"/>
    <mergeCell ref="V98:W98"/>
    <mergeCell ref="X98:Y98"/>
    <mergeCell ref="Z98:AA98"/>
    <mergeCell ref="AB98:AC98"/>
    <mergeCell ref="AB94:AB95"/>
    <mergeCell ref="AC94:AC95"/>
    <mergeCell ref="AD94:AD95"/>
    <mergeCell ref="AE94:AE95"/>
    <mergeCell ref="AF94:AF95"/>
    <mergeCell ref="AG94:AG95"/>
    <mergeCell ref="U94:U95"/>
    <mergeCell ref="V94:V95"/>
    <mergeCell ref="W94:W95"/>
    <mergeCell ref="X94:X95"/>
    <mergeCell ref="Y94:Y95"/>
    <mergeCell ref="Z94:Z95"/>
    <mergeCell ref="AA94:AA95"/>
    <mergeCell ref="H92:I92"/>
    <mergeCell ref="J92:K92"/>
    <mergeCell ref="H91:I91"/>
    <mergeCell ref="J91:K91"/>
    <mergeCell ref="L91:M91"/>
    <mergeCell ref="N91:O91"/>
    <mergeCell ref="P91:P92"/>
    <mergeCell ref="Q91:Q92"/>
    <mergeCell ref="V91:V92"/>
    <mergeCell ref="L92:M92"/>
    <mergeCell ref="N92:O92"/>
    <mergeCell ref="R97:S97"/>
    <mergeCell ref="T97:U97"/>
    <mergeCell ref="V97:W97"/>
    <mergeCell ref="X97:Y97"/>
    <mergeCell ref="Z97:AA97"/>
    <mergeCell ref="A96:O96"/>
    <mergeCell ref="B97:C97"/>
    <mergeCell ref="D97:E97"/>
    <mergeCell ref="F97:G97"/>
    <mergeCell ref="H97:I97"/>
    <mergeCell ref="J97:K97"/>
    <mergeCell ref="L97:M97"/>
    <mergeCell ref="AG87:AG88"/>
    <mergeCell ref="S87:S88"/>
    <mergeCell ref="T87:T88"/>
    <mergeCell ref="U87:U88"/>
    <mergeCell ref="V87:V88"/>
    <mergeCell ref="W87:W88"/>
    <mergeCell ref="X87:X88"/>
    <mergeCell ref="Y87:Y88"/>
    <mergeCell ref="L88:M88"/>
    <mergeCell ref="N88:O88"/>
    <mergeCell ref="L87:M87"/>
    <mergeCell ref="N87:O87"/>
    <mergeCell ref="P87:P88"/>
    <mergeCell ref="Q87:Q88"/>
    <mergeCell ref="R87:R88"/>
    <mergeCell ref="Z87:Z88"/>
    <mergeCell ref="AA87:AA88"/>
    <mergeCell ref="AB87:AB88"/>
    <mergeCell ref="AC87:AC88"/>
    <mergeCell ref="AD87:AD88"/>
    <mergeCell ref="AE87:AE88"/>
    <mergeCell ref="H87:I87"/>
    <mergeCell ref="J87:K87"/>
    <mergeCell ref="L90:M90"/>
    <mergeCell ref="N90:O90"/>
    <mergeCell ref="R90:S90"/>
    <mergeCell ref="T90:U90"/>
    <mergeCell ref="X90:Y90"/>
    <mergeCell ref="Z90:AA90"/>
    <mergeCell ref="AD90:AE90"/>
    <mergeCell ref="W91:W92"/>
    <mergeCell ref="AB91:AB92"/>
    <mergeCell ref="AC91:AC92"/>
    <mergeCell ref="D93:E93"/>
    <mergeCell ref="F93:G93"/>
    <mergeCell ref="H93:I93"/>
    <mergeCell ref="D134:E134"/>
    <mergeCell ref="D135:E135"/>
    <mergeCell ref="D136:E136"/>
    <mergeCell ref="A126:O126"/>
    <mergeCell ref="D127:E127"/>
    <mergeCell ref="F127:G127"/>
    <mergeCell ref="H127:I127"/>
    <mergeCell ref="J127:K127"/>
    <mergeCell ref="L127:M127"/>
    <mergeCell ref="A129:O129"/>
    <mergeCell ref="B127:C127"/>
    <mergeCell ref="B130:C130"/>
    <mergeCell ref="AB127:AC127"/>
    <mergeCell ref="N127:O127"/>
    <mergeCell ref="P127:Q127"/>
    <mergeCell ref="R127:S127"/>
    <mergeCell ref="T127:U127"/>
    <mergeCell ref="V127:W127"/>
    <mergeCell ref="P122:Q125"/>
    <mergeCell ref="H113:I113"/>
    <mergeCell ref="J113:K113"/>
    <mergeCell ref="D115:E115"/>
    <mergeCell ref="F115:G115"/>
    <mergeCell ref="H115:I115"/>
    <mergeCell ref="J115:K115"/>
    <mergeCell ref="A118:O118"/>
    <mergeCell ref="B115:C115"/>
    <mergeCell ref="B119:C119"/>
    <mergeCell ref="D119:E119"/>
    <mergeCell ref="F119:G119"/>
    <mergeCell ref="H119:I119"/>
    <mergeCell ref="J119:K119"/>
    <mergeCell ref="L119:M119"/>
    <mergeCell ref="L115:M115"/>
    <mergeCell ref="N115:O115"/>
    <mergeCell ref="P115:Q115"/>
    <mergeCell ref="R120:R121"/>
    <mergeCell ref="S120:S121"/>
    <mergeCell ref="X120:X121"/>
    <mergeCell ref="Y120:Y121"/>
    <mergeCell ref="Z115:AA115"/>
    <mergeCell ref="AB115:AC115"/>
    <mergeCell ref="AD115:AE115"/>
    <mergeCell ref="AF115:AG115"/>
    <mergeCell ref="T116:T117"/>
    <mergeCell ref="U116:U117"/>
    <mergeCell ref="Z116:Z117"/>
    <mergeCell ref="AA116:AA117"/>
    <mergeCell ref="AF116:AF117"/>
    <mergeCell ref="AG116:AG117"/>
    <mergeCell ref="AF119:AG119"/>
    <mergeCell ref="AG112:AG113"/>
    <mergeCell ref="T112:T113"/>
    <mergeCell ref="U112:U113"/>
    <mergeCell ref="V112:V113"/>
    <mergeCell ref="W112:W113"/>
    <mergeCell ref="X112:X113"/>
    <mergeCell ref="Y112:Y113"/>
    <mergeCell ref="Z112:Z113"/>
    <mergeCell ref="H112:I112"/>
    <mergeCell ref="J112:K112"/>
    <mergeCell ref="L112:M112"/>
    <mergeCell ref="P112:P113"/>
    <mergeCell ref="Q112:Q113"/>
    <mergeCell ref="R112:R113"/>
    <mergeCell ref="S112:S113"/>
    <mergeCell ref="L113:M113"/>
    <mergeCell ref="B86:C86"/>
    <mergeCell ref="D86:E86"/>
    <mergeCell ref="F86:G86"/>
    <mergeCell ref="AA112:AA113"/>
    <mergeCell ref="AB112:AB113"/>
    <mergeCell ref="AC112:AC113"/>
    <mergeCell ref="AD112:AD113"/>
    <mergeCell ref="AE112:AE113"/>
    <mergeCell ref="AF112:AF113"/>
    <mergeCell ref="AF87:AF88"/>
    <mergeCell ref="AF90:AG90"/>
    <mergeCell ref="B93:C93"/>
    <mergeCell ref="J93:K93"/>
    <mergeCell ref="L93:M93"/>
    <mergeCell ref="N93:O93"/>
    <mergeCell ref="H88:I88"/>
    <mergeCell ref="J88:K88"/>
    <mergeCell ref="B90:C90"/>
    <mergeCell ref="D90:E90"/>
    <mergeCell ref="F90:G90"/>
    <mergeCell ref="H90:I90"/>
    <mergeCell ref="J90:K90"/>
    <mergeCell ref="N97:O97"/>
    <mergeCell ref="P97:Q97"/>
    <mergeCell ref="B83:C83"/>
    <mergeCell ref="D83:E83"/>
    <mergeCell ref="F83:G83"/>
    <mergeCell ref="H84:I84"/>
    <mergeCell ref="J84:K84"/>
    <mergeCell ref="L84:M84"/>
    <mergeCell ref="N84:O84"/>
    <mergeCell ref="H85:I85"/>
    <mergeCell ref="J85:K85"/>
    <mergeCell ref="L85:M85"/>
    <mergeCell ref="N85:O85"/>
    <mergeCell ref="AF84:AF85"/>
    <mergeCell ref="AG84:AG85"/>
    <mergeCell ref="W84:W85"/>
    <mergeCell ref="X84:X85"/>
    <mergeCell ref="Y84:Y85"/>
    <mergeCell ref="Z84:Z85"/>
    <mergeCell ref="AA84:AA85"/>
    <mergeCell ref="AB84:AB85"/>
    <mergeCell ref="AC84:AC85"/>
    <mergeCell ref="P84:P85"/>
    <mergeCell ref="Q84:Q85"/>
    <mergeCell ref="R84:R85"/>
    <mergeCell ref="S84:S85"/>
    <mergeCell ref="T84:T85"/>
    <mergeCell ref="U84:U85"/>
    <mergeCell ref="V84:V85"/>
    <mergeCell ref="AD84:AD85"/>
    <mergeCell ref="AE84:AE85"/>
    <mergeCell ref="X81:X82"/>
    <mergeCell ref="Y81:Y82"/>
    <mergeCell ref="Q81:Q82"/>
    <mergeCell ref="R81:R82"/>
    <mergeCell ref="S81:S82"/>
    <mergeCell ref="T81:T82"/>
    <mergeCell ref="U81:U82"/>
    <mergeCell ref="V81:V82"/>
    <mergeCell ref="W81:W82"/>
    <mergeCell ref="AD79:AE79"/>
    <mergeCell ref="AF79:AG79"/>
    <mergeCell ref="D79:E79"/>
    <mergeCell ref="F79:G79"/>
    <mergeCell ref="H79:I79"/>
    <mergeCell ref="J79:K79"/>
    <mergeCell ref="L79:M79"/>
    <mergeCell ref="N79:O79"/>
    <mergeCell ref="P79:Q79"/>
    <mergeCell ref="F67:G67"/>
    <mergeCell ref="H67:I67"/>
    <mergeCell ref="J67:K67"/>
    <mergeCell ref="R79:S79"/>
    <mergeCell ref="T79:U79"/>
    <mergeCell ref="V79:W79"/>
    <mergeCell ref="X79:Y79"/>
    <mergeCell ref="Z79:AA79"/>
    <mergeCell ref="AB79:AC79"/>
    <mergeCell ref="AD67:AE67"/>
    <mergeCell ref="AF67:AG67"/>
    <mergeCell ref="W57:W58"/>
    <mergeCell ref="X57:X58"/>
    <mergeCell ref="Y57:Y58"/>
    <mergeCell ref="Z57:Z58"/>
    <mergeCell ref="AA57:AA58"/>
    <mergeCell ref="AB57:AB58"/>
    <mergeCell ref="AC57:AC58"/>
    <mergeCell ref="X59:Y59"/>
    <mergeCell ref="Z59:AA59"/>
    <mergeCell ref="AB59:AC59"/>
    <mergeCell ref="AD59:AE59"/>
    <mergeCell ref="AF59:AG59"/>
    <mergeCell ref="AF62:AF63"/>
    <mergeCell ref="AG62:AG63"/>
    <mergeCell ref="X65:Y65"/>
    <mergeCell ref="Z65:AA65"/>
    <mergeCell ref="AB65:AC65"/>
    <mergeCell ref="AD65:AE65"/>
    <mergeCell ref="AC62:AC63"/>
    <mergeCell ref="AD62:AD63"/>
    <mergeCell ref="AE62:AE63"/>
    <mergeCell ref="AA62:AA63"/>
    <mergeCell ref="AF65:AG65"/>
    <mergeCell ref="D50:E50"/>
    <mergeCell ref="F50:G50"/>
    <mergeCell ref="A52:O52"/>
    <mergeCell ref="D53:E53"/>
    <mergeCell ref="F53:G53"/>
    <mergeCell ref="H53:I53"/>
    <mergeCell ref="N53:O53"/>
    <mergeCell ref="B53:C53"/>
    <mergeCell ref="B54:C54"/>
    <mergeCell ref="D54:E54"/>
    <mergeCell ref="F54:G54"/>
    <mergeCell ref="H54:I54"/>
    <mergeCell ref="J54:K54"/>
    <mergeCell ref="L54:M54"/>
    <mergeCell ref="AD57:AD58"/>
    <mergeCell ref="AE57:AE58"/>
    <mergeCell ref="AF57:AF58"/>
    <mergeCell ref="AG57:AG58"/>
    <mergeCell ref="P57:P58"/>
    <mergeCell ref="T65:U65"/>
    <mergeCell ref="V65:W65"/>
    <mergeCell ref="P62:P63"/>
    <mergeCell ref="Q62:Q63"/>
    <mergeCell ref="R62:R63"/>
    <mergeCell ref="S62:S63"/>
    <mergeCell ref="L63:M63"/>
    <mergeCell ref="H65:I65"/>
    <mergeCell ref="J65:K65"/>
    <mergeCell ref="L65:M65"/>
    <mergeCell ref="N65:O65"/>
    <mergeCell ref="P65:Q65"/>
    <mergeCell ref="R65:S65"/>
    <mergeCell ref="A64:O64"/>
    <mergeCell ref="B65:C65"/>
    <mergeCell ref="AB62:AB63"/>
    <mergeCell ref="T62:T63"/>
    <mergeCell ref="U62:U63"/>
    <mergeCell ref="V62:V63"/>
    <mergeCell ref="W62:W63"/>
    <mergeCell ref="X62:X63"/>
    <mergeCell ref="Y62:Y63"/>
    <mergeCell ref="Z62:Z63"/>
    <mergeCell ref="AD49:AE49"/>
    <mergeCell ref="AF49:AG49"/>
    <mergeCell ref="AD53:AE53"/>
    <mergeCell ref="AF53:AG53"/>
    <mergeCell ref="AB54:AC54"/>
    <mergeCell ref="AD54:AE54"/>
    <mergeCell ref="AF54:AG54"/>
    <mergeCell ref="N54:O54"/>
    <mergeCell ref="P54:Q54"/>
    <mergeCell ref="R54:S54"/>
    <mergeCell ref="T54:U54"/>
    <mergeCell ref="V54:W54"/>
    <mergeCell ref="X54:Y54"/>
    <mergeCell ref="Z54:AA54"/>
    <mergeCell ref="Z53:AA53"/>
    <mergeCell ref="AB53:AC53"/>
    <mergeCell ref="Z49:AA49"/>
    <mergeCell ref="AB49:AC49"/>
    <mergeCell ref="X46:Y46"/>
    <mergeCell ref="Z46:AA46"/>
    <mergeCell ref="AB46:AC46"/>
    <mergeCell ref="B46:C46"/>
    <mergeCell ref="D46:E46"/>
    <mergeCell ref="F46:G46"/>
    <mergeCell ref="H46:I46"/>
    <mergeCell ref="J46:K46"/>
    <mergeCell ref="L46:M46"/>
    <mergeCell ref="N46:O46"/>
    <mergeCell ref="AD81:AD82"/>
    <mergeCell ref="AE81:AE82"/>
    <mergeCell ref="AF81:AF82"/>
    <mergeCell ref="AG81:AG82"/>
    <mergeCell ref="D39:E39"/>
    <mergeCell ref="F39:G39"/>
    <mergeCell ref="H39:I39"/>
    <mergeCell ref="J39:K39"/>
    <mergeCell ref="L39:M39"/>
    <mergeCell ref="N39:O39"/>
    <mergeCell ref="A41:O41"/>
    <mergeCell ref="B39:C39"/>
    <mergeCell ref="B42:C42"/>
    <mergeCell ref="D42:E42"/>
    <mergeCell ref="F42:G42"/>
    <mergeCell ref="H42:I42"/>
    <mergeCell ref="J42:K42"/>
    <mergeCell ref="L42:M42"/>
    <mergeCell ref="AD46:AE46"/>
    <mergeCell ref="AF46:AG46"/>
    <mergeCell ref="P46:Q46"/>
    <mergeCell ref="R46:S46"/>
    <mergeCell ref="T46:U46"/>
    <mergeCell ref="V46:W46"/>
    <mergeCell ref="AD72:AE72"/>
    <mergeCell ref="AF72:AG72"/>
    <mergeCell ref="N72:O72"/>
    <mergeCell ref="P72:Q72"/>
    <mergeCell ref="R72:S72"/>
    <mergeCell ref="T72:U72"/>
    <mergeCell ref="V72:W72"/>
    <mergeCell ref="X72:Y72"/>
    <mergeCell ref="Z72:AA72"/>
    <mergeCell ref="P81:P82"/>
    <mergeCell ref="Z67:AA67"/>
    <mergeCell ref="AB67:AC67"/>
    <mergeCell ref="L67:M67"/>
    <mergeCell ref="N67:O67"/>
    <mergeCell ref="P67:Q67"/>
    <mergeCell ref="R67:S67"/>
    <mergeCell ref="T67:U67"/>
    <mergeCell ref="V67:W67"/>
    <mergeCell ref="X67:Y67"/>
    <mergeCell ref="AB72:AC72"/>
    <mergeCell ref="A71:O71"/>
    <mergeCell ref="D72:E72"/>
    <mergeCell ref="F72:G72"/>
    <mergeCell ref="H72:I72"/>
    <mergeCell ref="J72:K72"/>
    <mergeCell ref="L72:M72"/>
    <mergeCell ref="A78:O78"/>
    <mergeCell ref="Z81:Z82"/>
    <mergeCell ref="AA81:AA82"/>
    <mergeCell ref="AB81:AB82"/>
    <mergeCell ref="AC81:AC82"/>
    <mergeCell ref="B67:C67"/>
    <mergeCell ref="D67:E67"/>
    <mergeCell ref="B59:C59"/>
    <mergeCell ref="D59:E59"/>
    <mergeCell ref="F59:G59"/>
    <mergeCell ref="H59:I59"/>
    <mergeCell ref="H82:I82"/>
    <mergeCell ref="J82:K82"/>
    <mergeCell ref="L82:M82"/>
    <mergeCell ref="N82:O82"/>
    <mergeCell ref="D80:E80"/>
    <mergeCell ref="F80:G80"/>
    <mergeCell ref="H81:I81"/>
    <mergeCell ref="J81:K81"/>
    <mergeCell ref="L81:M81"/>
    <mergeCell ref="N81:O81"/>
    <mergeCell ref="B72:C72"/>
    <mergeCell ref="B79:C79"/>
    <mergeCell ref="B80:C80"/>
    <mergeCell ref="H63:I63"/>
    <mergeCell ref="J63:K63"/>
    <mergeCell ref="H62:I62"/>
    <mergeCell ref="J62:K62"/>
    <mergeCell ref="L62:M62"/>
    <mergeCell ref="D65:E65"/>
    <mergeCell ref="F65:G65"/>
    <mergeCell ref="J59:K59"/>
    <mergeCell ref="L59:M59"/>
    <mergeCell ref="N59:O59"/>
    <mergeCell ref="P59:Q59"/>
    <mergeCell ref="R59:S59"/>
    <mergeCell ref="T59:U59"/>
    <mergeCell ref="V59:W59"/>
    <mergeCell ref="H58:I58"/>
    <mergeCell ref="J58:K58"/>
    <mergeCell ref="L58:M58"/>
    <mergeCell ref="Q57:Q58"/>
    <mergeCell ref="R57:R58"/>
    <mergeCell ref="S57:S58"/>
    <mergeCell ref="T57:T58"/>
    <mergeCell ref="U57:U58"/>
    <mergeCell ref="V57:V58"/>
    <mergeCell ref="J53:K53"/>
    <mergeCell ref="L53:M53"/>
    <mergeCell ref="P53:Q53"/>
    <mergeCell ref="R53:S53"/>
    <mergeCell ref="T53:U53"/>
    <mergeCell ref="V53:W53"/>
    <mergeCell ref="X53:Y53"/>
    <mergeCell ref="T49:U49"/>
    <mergeCell ref="V49:W49"/>
    <mergeCell ref="X49:Y49"/>
    <mergeCell ref="P49:Q49"/>
    <mergeCell ref="R49:S49"/>
    <mergeCell ref="B49:C49"/>
    <mergeCell ref="D49:E49"/>
    <mergeCell ref="F49:G49"/>
    <mergeCell ref="H49:I49"/>
    <mergeCell ref="J49:K49"/>
    <mergeCell ref="L49:M49"/>
    <mergeCell ref="N49:O49"/>
    <mergeCell ref="B43:C43"/>
    <mergeCell ref="D43:E43"/>
    <mergeCell ref="F43:G43"/>
    <mergeCell ref="H43:I43"/>
    <mergeCell ref="J43:K43"/>
    <mergeCell ref="L43:M43"/>
    <mergeCell ref="N43:O43"/>
    <mergeCell ref="AB42:AC42"/>
    <mergeCell ref="AD42:AE42"/>
    <mergeCell ref="AF42:AG42"/>
    <mergeCell ref="N42:O42"/>
    <mergeCell ref="P42:Q42"/>
    <mergeCell ref="R42:S42"/>
    <mergeCell ref="T42:U42"/>
    <mergeCell ref="V42:W42"/>
    <mergeCell ref="X42:Y42"/>
    <mergeCell ref="Z42:AA42"/>
    <mergeCell ref="D38:E38"/>
    <mergeCell ref="F38:G38"/>
    <mergeCell ref="H38:M38"/>
    <mergeCell ref="N38:O38"/>
    <mergeCell ref="P38:Q38"/>
    <mergeCell ref="R38:S38"/>
    <mergeCell ref="AD39:AE39"/>
    <mergeCell ref="AF39:AG39"/>
    <mergeCell ref="P39:Q39"/>
    <mergeCell ref="R39:S39"/>
    <mergeCell ref="T39:U39"/>
    <mergeCell ref="V39:W39"/>
    <mergeCell ref="X39:Y39"/>
    <mergeCell ref="Z39:AA39"/>
    <mergeCell ref="AB39:AC39"/>
    <mergeCell ref="A32:A33"/>
    <mergeCell ref="B37:C37"/>
    <mergeCell ref="D37:G37"/>
    <mergeCell ref="H37:O37"/>
    <mergeCell ref="P37:U37"/>
    <mergeCell ref="V37:AA37"/>
    <mergeCell ref="AB37:AG37"/>
    <mergeCell ref="AD43:AE43"/>
    <mergeCell ref="AF43:AG43"/>
    <mergeCell ref="P43:Q43"/>
    <mergeCell ref="R43:S43"/>
    <mergeCell ref="T43:U43"/>
    <mergeCell ref="V43:W43"/>
    <mergeCell ref="X43:Y43"/>
    <mergeCell ref="Z43:AA43"/>
    <mergeCell ref="AB43:AC43"/>
    <mergeCell ref="T38:U38"/>
    <mergeCell ref="V38:W38"/>
    <mergeCell ref="X38:Y38"/>
    <mergeCell ref="Z38:AA38"/>
    <mergeCell ref="AB38:AC38"/>
    <mergeCell ref="AD38:AE38"/>
    <mergeCell ref="AF38:AG38"/>
    <mergeCell ref="B38:C38"/>
    <mergeCell ref="M18:N18"/>
    <mergeCell ref="M19:N19"/>
    <mergeCell ref="M20:N20"/>
    <mergeCell ref="I14:J14"/>
    <mergeCell ref="I15:J15"/>
    <mergeCell ref="I16:J16"/>
    <mergeCell ref="I17:J17"/>
    <mergeCell ref="I18:J18"/>
    <mergeCell ref="I19:J19"/>
    <mergeCell ref="M9:N9"/>
    <mergeCell ref="M10:N10"/>
    <mergeCell ref="M11:N11"/>
    <mergeCell ref="M12:N12"/>
    <mergeCell ref="M13:N13"/>
    <mergeCell ref="M14:N14"/>
    <mergeCell ref="M15:N15"/>
    <mergeCell ref="M16:N16"/>
    <mergeCell ref="M17:N17"/>
    <mergeCell ref="D29:E29"/>
    <mergeCell ref="A2:A3"/>
    <mergeCell ref="B2:E2"/>
    <mergeCell ref="F2:G2"/>
    <mergeCell ref="H2:J2"/>
    <mergeCell ref="K2:N2"/>
    <mergeCell ref="O2:Q2"/>
    <mergeCell ref="S2:S3"/>
    <mergeCell ref="I3:J3"/>
    <mergeCell ref="M3:N3"/>
    <mergeCell ref="I4:J4"/>
    <mergeCell ref="M4:N4"/>
    <mergeCell ref="I5:J5"/>
    <mergeCell ref="M5:N5"/>
    <mergeCell ref="M6:N6"/>
    <mergeCell ref="I6:J6"/>
    <mergeCell ref="F7:F8"/>
    <mergeCell ref="I7:J7"/>
    <mergeCell ref="I8:J8"/>
    <mergeCell ref="I9:J9"/>
    <mergeCell ref="I12:J12"/>
    <mergeCell ref="I13:J13"/>
    <mergeCell ref="M7:N7"/>
    <mergeCell ref="M8:N8"/>
    <mergeCell ref="M21:N21"/>
    <mergeCell ref="M22:N22"/>
    <mergeCell ref="M23:N23"/>
    <mergeCell ref="M24:N24"/>
    <mergeCell ref="M25:N25"/>
    <mergeCell ref="M26:N26"/>
    <mergeCell ref="M27:N27"/>
    <mergeCell ref="M28:N28"/>
    <mergeCell ref="I23:J23"/>
    <mergeCell ref="I24:J24"/>
    <mergeCell ref="I25:J25"/>
    <mergeCell ref="I26:J26"/>
    <mergeCell ref="I27:J27"/>
    <mergeCell ref="I28:J28"/>
    <mergeCell ref="I22:J22"/>
  </mergeCells>
  <pageMargins left="0" right="0" top="0" bottom="0" header="0" footer="0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F32EA3D6213C54D88F7E52D8FB6A9AF" ma:contentTypeVersion="8" ma:contentTypeDescription="Criar um novo documento." ma:contentTypeScope="" ma:versionID="1518240a24cf7a0a7686144618af134f">
  <xsd:schema xmlns:xsd="http://www.w3.org/2001/XMLSchema" xmlns:xs="http://www.w3.org/2001/XMLSchema" xmlns:p="http://schemas.microsoft.com/office/2006/metadata/properties" xmlns:ns2="5b71271a-1fc9-42ad-8496-2e7a61f3b1ac" targetNamespace="http://schemas.microsoft.com/office/2006/metadata/properties" ma:root="true" ma:fieldsID="0c7c98d8b74c2b652d38a89c85b7fdfa" ns2:_="">
    <xsd:import namespace="5b71271a-1fc9-42ad-8496-2e7a61f3b1a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71271a-1fc9-42ad-8496-2e7a61f3b1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4E15EF1-1214-4EF8-A92D-6E265506CBC0}"/>
</file>

<file path=customXml/itemProps2.xml><?xml version="1.0" encoding="utf-8"?>
<ds:datastoreItem xmlns:ds="http://schemas.openxmlformats.org/officeDocument/2006/customXml" ds:itemID="{F7FBB5D7-A630-4634-8352-171CC7931183}"/>
</file>

<file path=customXml/itemProps3.xml><?xml version="1.0" encoding="utf-8"?>
<ds:datastoreItem xmlns:ds="http://schemas.openxmlformats.org/officeDocument/2006/customXml" ds:itemID="{5E744860-DBAC-4748-88BD-249CFE59914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Inês Filipa Araújo Nogueira</cp:lastModifiedBy>
  <cp:revision/>
  <dcterms:created xsi:type="dcterms:W3CDTF">2026-05-27T14:09:50Z</dcterms:created>
  <dcterms:modified xsi:type="dcterms:W3CDTF">2026-05-27T16:43:42Z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0x0101002F32EA3D6213C54D88F7E52D8FB6A9AF</vt:lpwstr>
  </property>
  <property fmtid="{D5CDD505-2E9C-101B-9397-08002B2CF9AE}" pid="3" name="Order">
    <vt:r8>169800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</Properties>
</file>