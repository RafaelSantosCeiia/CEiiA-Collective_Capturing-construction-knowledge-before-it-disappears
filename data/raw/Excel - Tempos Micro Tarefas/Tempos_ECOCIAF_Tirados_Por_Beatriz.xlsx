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atriz.costa\Documents\Estágio\Estágio\"/>
    </mc:Choice>
  </mc:AlternateContent>
  <xr:revisionPtr revIDLastSave="12" documentId="8_{C067F2D6-A081-4CF2-AEFA-04C556997422}" xr6:coauthVersionLast="47" xr6:coauthVersionMax="47" xr10:uidLastSave="{02192CE8-6E44-4CFC-87B3-87F433F0CE54}"/>
  <bookViews>
    <workbookView xWindow="-108" yWindow="-108" windowWidth="23256" windowHeight="12456" xr2:uid="{5D0F2188-5A03-4345-8FDF-4FCB2B8811BF}"/>
  </bookViews>
  <sheets>
    <sheet name="Fo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8" i="1" l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4" i="1"/>
</calcChain>
</file>

<file path=xl/sharedStrings.xml><?xml version="1.0" encoding="utf-8"?>
<sst xmlns="http://schemas.openxmlformats.org/spreadsheetml/2006/main" count="44" uniqueCount="34">
  <si>
    <t>26/05/2026 - Tarde - webcam - tempos de acordo com o software de visualização</t>
  </si>
  <si>
    <t>PG02K</t>
  </si>
  <si>
    <t>Início</t>
  </si>
  <si>
    <t>Fim</t>
  </si>
  <si>
    <t>Duração</t>
  </si>
  <si>
    <t>1. Pegar nos perfis necessários (do carrinho para a mesa de montagem)</t>
  </si>
  <si>
    <t>Pick up the required profiles (from the cart to the assembly table)</t>
  </si>
  <si>
    <t>2. Colocar os perfis nas posições de montagem</t>
  </si>
  <si>
    <t>Place the profiles in the assembly positions</t>
  </si>
  <si>
    <t>3. Fixar a estrutura, recorrendo a fixadores</t>
  </si>
  <si>
    <t>Secure the structure using fasteners</t>
  </si>
  <si>
    <t>4. Realizar as medições, ajustes e alinhamentos prévios</t>
  </si>
  <si>
    <t>Carry out the preliminary measurements, adjustments, and alignments</t>
  </si>
  <si>
    <t>5.Realizar a cravação da estrutura de perfis (clinching)</t>
  </si>
  <si>
    <t>Perform the clinching of the profile structure</t>
  </si>
  <si>
    <t>6. Pegar e colocar a primeira placa na estrutura montada</t>
  </si>
  <si>
    <t>Pick up and place the first panel onto the assembled structure</t>
  </si>
  <si>
    <t>7. Realizar as medições e ajustes necesssários na placa</t>
  </si>
  <si>
    <t>Carry out the necessary measurements and adjustments on the panel</t>
  </si>
  <si>
    <t>8. Aparafusar a placa à estrutura de perfis</t>
  </si>
  <si>
    <t>Screw the panel onto the profile structure</t>
  </si>
  <si>
    <t>9. Remover os fixadores da estrutura</t>
  </si>
  <si>
    <t>Remove the fasteners from the structure</t>
  </si>
  <si>
    <t>10. Virar a estrutura</t>
  </si>
  <si>
    <t>Turn the structure over</t>
  </si>
  <si>
    <t>11. Realizar a cravação da estrutura (clinching)</t>
  </si>
  <si>
    <t>Perform the clinching of the structure</t>
  </si>
  <si>
    <t>12. Imprimir e colar etiqueta de identificação</t>
  </si>
  <si>
    <t>Print and attach the identification label</t>
  </si>
  <si>
    <t>13. Colocar o produto na palete de madeira</t>
  </si>
  <si>
    <t>Place the product on the wooden pallet</t>
  </si>
  <si>
    <t>14. Transportar mesa até ao inicio do processo</t>
  </si>
  <si>
    <t>Transport the table to the beginning of the process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</si>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</sst>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B8CCE4"/>
        <bgColor indexed="64"/>
      </patternFill>
    </fill>
    <fill>
      <patternFill patternType="solid">
        <fgColor rgb="FFDCE6F1"/>
        <bgColor indexed="64"/>
      </patternFill>
    </fill>
  </fills>
  <borders count="7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thin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thin">
        <color rgb="FF000000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1" xfId="0" applyFont="1" applyBorder="1" applyAlignment="1">
      <alignment wrapText="1"/>
    </xf>
    <xf numFmtId="0" fontId="2" fillId="2" borderId="1" xfId="0" applyFont="1" applyFill="1" applyBorder="1" applyAlignment="1">
      <alignment wrapText="1"/>
    </xf>
    <xf numFmtId="21" fontId="2" fillId="2" borderId="1" xfId="0" applyNumberFormat="1" applyFont="1" applyFill="1" applyBorder="1" applyAlignment="1">
      <alignment horizontal="right" wrapText="1"/>
    </xf>
    <xf numFmtId="0" fontId="1" fillId="2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21" fontId="2" fillId="3" borderId="1" xfId="0" applyNumberFormat="1" applyFont="1" applyFill="1" applyBorder="1" applyAlignment="1">
      <alignment horizontal="right" wrapText="1"/>
    </xf>
    <xf numFmtId="0" fontId="1" fillId="3" borderId="1" xfId="0" applyFont="1" applyFill="1" applyBorder="1" applyAlignment="1">
      <alignment wrapText="1"/>
    </xf>
    <xf numFmtId="21" fontId="1" fillId="3" borderId="1" xfId="0" applyNumberFormat="1" applyFont="1" applyFill="1" applyBorder="1" applyAlignment="1">
      <alignment wrapText="1"/>
    </xf>
    <xf numFmtId="21" fontId="1" fillId="2" borderId="1" xfId="0" applyNumberFormat="1" applyFont="1" applyFill="1" applyBorder="1" applyAlignment="1">
      <alignment wrapText="1"/>
    </xf>
    <xf numFmtId="46" fontId="3" fillId="2" borderId="1" xfId="0" applyNumberFormat="1" applyFont="1" applyFill="1" applyBorder="1" applyAlignment="1">
      <alignment wrapText="1"/>
    </xf>
    <xf numFmtId="0" fontId="3" fillId="2" borderId="1" xfId="0" applyFont="1" applyFill="1" applyBorder="1" applyAlignment="1">
      <alignment wrapText="1"/>
    </xf>
    <xf numFmtId="0" fontId="1" fillId="0" borderId="4" xfId="0" applyFont="1" applyBorder="1" applyAlignment="1">
      <alignment wrapText="1"/>
    </xf>
    <xf numFmtId="0" fontId="1" fillId="2" borderId="4" xfId="0" applyFont="1" applyFill="1" applyBorder="1" applyAlignment="1">
      <alignment wrapText="1"/>
    </xf>
    <xf numFmtId="0" fontId="1" fillId="0" borderId="6" xfId="0" applyFont="1" applyBorder="1" applyAlignment="1">
      <alignment wrapText="1"/>
    </xf>
    <xf numFmtId="21" fontId="2" fillId="2" borderId="6" xfId="0" applyNumberFormat="1" applyFont="1" applyFill="1" applyBorder="1" applyAlignment="1">
      <alignment horizontal="right" wrapText="1"/>
    </xf>
    <xf numFmtId="21" fontId="2" fillId="3" borderId="6" xfId="0" applyNumberFormat="1" applyFont="1" applyFill="1" applyBorder="1" applyAlignment="1">
      <alignment horizontal="right" wrapText="1"/>
    </xf>
    <xf numFmtId="21" fontId="2" fillId="2" borderId="4" xfId="0" applyNumberFormat="1" applyFont="1" applyFill="1" applyBorder="1" applyAlignment="1">
      <alignment horizontal="right" wrapText="1"/>
    </xf>
    <xf numFmtId="21" fontId="2" fillId="3" borderId="4" xfId="0" applyNumberFormat="1" applyFont="1" applyFill="1" applyBorder="1" applyAlignment="1">
      <alignment horizontal="right" wrapText="1"/>
    </xf>
    <xf numFmtId="21" fontId="1" fillId="3" borderId="4" xfId="0" applyNumberFormat="1" applyFont="1" applyFill="1" applyBorder="1" applyAlignment="1">
      <alignment wrapText="1"/>
    </xf>
    <xf numFmtId="21" fontId="1" fillId="2" borderId="4" xfId="0" applyNumberFormat="1" applyFont="1" applyFill="1" applyBorder="1" applyAlignment="1">
      <alignment wrapText="1"/>
    </xf>
    <xf numFmtId="21" fontId="3" fillId="2" borderId="6" xfId="0" applyNumberFormat="1" applyFont="1" applyFill="1" applyBorder="1" applyAlignment="1">
      <alignment horizontal="right" wrapText="1"/>
    </xf>
    <xf numFmtId="0" fontId="1" fillId="3" borderId="4" xfId="0" applyFont="1" applyFill="1" applyBorder="1" applyAlignment="1">
      <alignment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1" fillId="0" borderId="2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1" fillId="2" borderId="4" xfId="0" applyFont="1" applyFill="1" applyBorder="1" applyAlignment="1">
      <alignment wrapText="1"/>
    </xf>
    <xf numFmtId="0" fontId="1" fillId="0" borderId="5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786AA-F30D-4C29-AB75-CD44AB5F2413}">
  <dimension ref="A1:N18"/>
  <sheetViews>
    <sheetView tabSelected="1" workbookViewId="0">
      <selection activeCell="O4" sqref="O4"/>
    </sheetView>
  </sheetViews>
  <sheetFormatPr defaultRowHeight="14.45"/>
  <cols>
    <col min="1" max="1" width="62.42578125" customWidth="1"/>
  </cols>
  <sheetData>
    <row r="1" spans="1:14" ht="15">
      <c r="A1" s="1"/>
      <c r="B1" s="23" t="s">
        <v>0</v>
      </c>
      <c r="C1" s="24"/>
      <c r="D1" s="24"/>
      <c r="E1" s="24"/>
      <c r="F1" s="24"/>
      <c r="G1" s="24"/>
      <c r="H1" s="24"/>
      <c r="I1" s="24"/>
      <c r="J1" s="24"/>
      <c r="K1" s="24"/>
      <c r="L1" s="24"/>
      <c r="M1" s="25"/>
    </row>
    <row r="2" spans="1:14" ht="15">
      <c r="A2" s="1"/>
      <c r="B2" s="23" t="s">
        <v>1</v>
      </c>
      <c r="C2" s="24"/>
      <c r="D2" s="31"/>
      <c r="E2" s="24" t="s">
        <v>1</v>
      </c>
      <c r="F2" s="24"/>
      <c r="G2" s="24"/>
      <c r="H2" s="26"/>
      <c r="I2" s="27"/>
      <c r="J2" s="27"/>
      <c r="K2" s="27"/>
      <c r="L2" s="27"/>
      <c r="M2" s="28"/>
    </row>
    <row r="3" spans="1:14" ht="15">
      <c r="A3" s="1"/>
      <c r="B3" s="1" t="s">
        <v>2</v>
      </c>
      <c r="C3" s="1" t="s">
        <v>3</v>
      </c>
      <c r="D3" s="14" t="s">
        <v>4</v>
      </c>
      <c r="E3" s="12" t="s">
        <v>2</v>
      </c>
      <c r="F3" s="1" t="s">
        <v>3</v>
      </c>
      <c r="G3" s="1" t="s">
        <v>4</v>
      </c>
      <c r="H3" s="1" t="s">
        <v>2</v>
      </c>
      <c r="I3" s="1" t="s">
        <v>3</v>
      </c>
      <c r="J3" s="1" t="s">
        <v>4</v>
      </c>
      <c r="K3" s="1" t="s">
        <v>2</v>
      </c>
      <c r="L3" s="1" t="s">
        <v>3</v>
      </c>
      <c r="M3" s="1" t="s">
        <v>4</v>
      </c>
    </row>
    <row r="4" spans="1:14" ht="30.75">
      <c r="A4" s="2" t="s">
        <v>5</v>
      </c>
      <c r="B4" s="3">
        <v>0</v>
      </c>
      <c r="C4" s="3">
        <v>0</v>
      </c>
      <c r="D4" s="15">
        <v>0</v>
      </c>
      <c r="E4" s="17">
        <v>8.5300925925925926E-3</v>
      </c>
      <c r="F4" s="3">
        <v>8.6921296296296295E-3</v>
      </c>
      <c r="G4" s="9">
        <f>F4-E4</f>
        <v>1.6203703703703692E-4</v>
      </c>
      <c r="H4" s="4"/>
      <c r="I4" s="4"/>
      <c r="J4" s="4"/>
      <c r="K4" s="4"/>
      <c r="L4" s="4"/>
      <c r="M4" s="4"/>
      <c r="N4" t="s">
        <v>6</v>
      </c>
    </row>
    <row r="5" spans="1:14" ht="15" thickBot="1">
      <c r="A5" s="5" t="s">
        <v>7</v>
      </c>
      <c r="B5" s="6">
        <v>5.092592592592593E-3</v>
      </c>
      <c r="C5" s="6">
        <v>6.030092592592593E-3</v>
      </c>
      <c r="D5" s="16">
        <v>9.3749999999999997E-4</v>
      </c>
      <c r="E5" s="18">
        <v>1.0173611111111111E-2</v>
      </c>
      <c r="F5" s="6">
        <v>1.0613425925925925E-2</v>
      </c>
      <c r="G5" s="9">
        <f t="shared" ref="G5:G17" si="0">F5-E5</f>
        <v>4.3981481481481476E-4</v>
      </c>
      <c r="H5" s="7"/>
      <c r="I5" s="7"/>
      <c r="J5" s="7"/>
      <c r="K5" s="7"/>
      <c r="L5" s="7"/>
      <c r="M5" s="7"/>
      <c r="N5" t="s">
        <v>8</v>
      </c>
    </row>
    <row r="6" spans="1:14" ht="15" thickBot="1">
      <c r="A6" s="2" t="s">
        <v>9</v>
      </c>
      <c r="B6" s="3">
        <v>6.3194444444444444E-3</v>
      </c>
      <c r="C6" s="3">
        <v>6.6435185185185182E-3</v>
      </c>
      <c r="D6" s="15">
        <v>3.2407407407407406E-4</v>
      </c>
      <c r="E6" s="17">
        <v>1.0671296296296297E-2</v>
      </c>
      <c r="F6" s="3">
        <v>1.1331018518518518E-2</v>
      </c>
      <c r="G6" s="9">
        <f t="shared" si="0"/>
        <v>6.5972222222222127E-4</v>
      </c>
      <c r="H6" s="4"/>
      <c r="I6" s="4"/>
      <c r="J6" s="4"/>
      <c r="K6" s="4"/>
      <c r="L6" s="4"/>
      <c r="M6" s="4"/>
      <c r="N6" t="s">
        <v>10</v>
      </c>
    </row>
    <row r="7" spans="1:14" ht="15" thickBot="1">
      <c r="A7" s="5" t="s">
        <v>11</v>
      </c>
      <c r="B7" s="6">
        <v>6.053240740740741E-3</v>
      </c>
      <c r="C7" s="6">
        <v>6.3773148148148148E-3</v>
      </c>
      <c r="D7" s="16">
        <v>3.2407407407407406E-4</v>
      </c>
      <c r="E7" s="18">
        <v>1.0787037037037038E-2</v>
      </c>
      <c r="F7" s="6">
        <v>1.1122685185185185E-2</v>
      </c>
      <c r="G7" s="9">
        <f t="shared" si="0"/>
        <v>3.3564814814814742E-4</v>
      </c>
      <c r="H7" s="7"/>
      <c r="I7" s="7"/>
      <c r="J7" s="7"/>
      <c r="K7" s="7"/>
      <c r="L7" s="7"/>
      <c r="M7" s="7"/>
      <c r="N7" t="s">
        <v>12</v>
      </c>
    </row>
    <row r="8" spans="1:14" ht="15" thickBot="1">
      <c r="A8" s="2" t="s">
        <v>13</v>
      </c>
      <c r="B8" s="3">
        <v>6.7939814814814816E-3</v>
      </c>
      <c r="C8" s="3">
        <v>7.1875000000000003E-3</v>
      </c>
      <c r="D8" s="15">
        <v>3.9351851851851852E-4</v>
      </c>
      <c r="E8" s="17">
        <v>1.1539351851851851E-2</v>
      </c>
      <c r="F8" s="3">
        <v>1.193287037037037E-2</v>
      </c>
      <c r="G8" s="9">
        <f t="shared" si="0"/>
        <v>3.9351851851851874E-4</v>
      </c>
      <c r="H8" s="4"/>
      <c r="I8" s="4"/>
      <c r="J8" s="4"/>
      <c r="K8" s="4"/>
      <c r="L8" s="4"/>
      <c r="M8" s="4"/>
      <c r="N8" t="s">
        <v>14</v>
      </c>
    </row>
    <row r="9" spans="1:14" ht="15" thickBot="1">
      <c r="A9" s="5" t="s">
        <v>15</v>
      </c>
      <c r="B9" s="6">
        <v>7.1527777777777779E-3</v>
      </c>
      <c r="C9" s="6">
        <v>7.5462962962962966E-3</v>
      </c>
      <c r="D9" s="16">
        <v>3.9351851851851852E-4</v>
      </c>
      <c r="E9" s="18">
        <v>1.2048611111111111E-2</v>
      </c>
      <c r="F9" s="6">
        <v>1.2152777777777778E-2</v>
      </c>
      <c r="G9" s="9">
        <f t="shared" si="0"/>
        <v>1.0416666666666734E-4</v>
      </c>
      <c r="H9" s="7"/>
      <c r="I9" s="7"/>
      <c r="J9" s="7"/>
      <c r="K9" s="7"/>
      <c r="L9" s="7"/>
      <c r="M9" s="7"/>
      <c r="N9" t="s">
        <v>16</v>
      </c>
    </row>
    <row r="10" spans="1:14" ht="15" thickBot="1">
      <c r="A10" s="2" t="s">
        <v>17</v>
      </c>
      <c r="B10" s="3">
        <v>7.5462962962962966E-3</v>
      </c>
      <c r="C10" s="3">
        <v>7.7199074074074071E-3</v>
      </c>
      <c r="D10" s="15">
        <v>1.7361111111111112E-4</v>
      </c>
      <c r="E10" s="17">
        <v>1.2152777777777778E-2</v>
      </c>
      <c r="F10" s="3">
        <v>1.2430555555555556E-2</v>
      </c>
      <c r="G10" s="9">
        <f t="shared" si="0"/>
        <v>2.7777777777777783E-4</v>
      </c>
      <c r="H10" s="4"/>
      <c r="I10" s="4"/>
      <c r="J10" s="4"/>
      <c r="K10" s="4"/>
      <c r="L10" s="4"/>
      <c r="M10" s="4"/>
      <c r="N10" t="s">
        <v>18</v>
      </c>
    </row>
    <row r="11" spans="1:14" ht="15" thickBot="1">
      <c r="A11" s="5" t="s">
        <v>19</v>
      </c>
      <c r="B11" s="6">
        <v>7.766203703703704E-3</v>
      </c>
      <c r="C11" s="6">
        <v>8.3217592592592596E-3</v>
      </c>
      <c r="D11" s="16">
        <v>5.5555555555555556E-4</v>
      </c>
      <c r="E11" s="18">
        <v>1.2465277777777778E-2</v>
      </c>
      <c r="F11" s="6">
        <v>1.2951388888888889E-2</v>
      </c>
      <c r="G11" s="9">
        <f t="shared" si="0"/>
        <v>4.8611111111111077E-4</v>
      </c>
      <c r="H11" s="7"/>
      <c r="I11" s="7"/>
      <c r="J11" s="7"/>
      <c r="K11" s="7"/>
      <c r="L11" s="7"/>
      <c r="M11" s="7"/>
      <c r="N11" t="s">
        <v>20</v>
      </c>
    </row>
    <row r="12" spans="1:14" ht="15" thickBot="1">
      <c r="A12" s="2" t="s">
        <v>21</v>
      </c>
      <c r="B12" s="3">
        <v>8.2638888888888883E-3</v>
      </c>
      <c r="C12" s="3">
        <v>8.4606481481481477E-3</v>
      </c>
      <c r="D12" s="15">
        <v>1.9675925925925926E-4</v>
      </c>
      <c r="E12" s="17">
        <v>1.2974537037037038E-2</v>
      </c>
      <c r="F12" s="3">
        <v>1.3171296296296296E-2</v>
      </c>
      <c r="G12" s="9">
        <f t="shared" si="0"/>
        <v>1.9675925925925764E-4</v>
      </c>
      <c r="H12" s="4"/>
      <c r="I12" s="4"/>
      <c r="J12" s="4"/>
      <c r="K12" s="4"/>
      <c r="L12" s="4"/>
      <c r="M12" s="4"/>
      <c r="N12" t="s">
        <v>22</v>
      </c>
    </row>
    <row r="13" spans="1:14" ht="15" thickBot="1">
      <c r="A13" s="5" t="s">
        <v>23</v>
      </c>
      <c r="B13" s="6">
        <v>8.8310185185185193E-3</v>
      </c>
      <c r="C13" s="6">
        <v>8.9120370370370378E-3</v>
      </c>
      <c r="D13" s="16">
        <v>8.1018518518518516E-5</v>
      </c>
      <c r="E13" s="19">
        <v>1.3587962962962963E-2</v>
      </c>
      <c r="F13" s="8">
        <v>1.3726851851851851E-2</v>
      </c>
      <c r="G13" s="9">
        <f t="shared" si="0"/>
        <v>1.3888888888888805E-4</v>
      </c>
      <c r="H13" s="7"/>
      <c r="I13" s="7"/>
      <c r="J13" s="7"/>
      <c r="K13" s="7"/>
      <c r="L13" s="7"/>
      <c r="M13" s="7"/>
      <c r="N13" t="s">
        <v>24</v>
      </c>
    </row>
    <row r="14" spans="1:14" ht="15" thickBot="1">
      <c r="A14" s="2" t="s">
        <v>25</v>
      </c>
      <c r="B14" s="3">
        <v>8.9699074074074073E-3</v>
      </c>
      <c r="C14" s="3">
        <v>9.2824074074074076E-3</v>
      </c>
      <c r="D14" s="15">
        <v>3.1250000000000001E-4</v>
      </c>
      <c r="E14" s="20">
        <v>1.3819444444444445E-2</v>
      </c>
      <c r="F14" s="9">
        <v>1.4305555555555556E-2</v>
      </c>
      <c r="G14" s="9">
        <f t="shared" si="0"/>
        <v>4.8611111111111077E-4</v>
      </c>
      <c r="H14" s="4"/>
      <c r="I14" s="4"/>
      <c r="J14" s="4"/>
      <c r="K14" s="4"/>
      <c r="L14" s="4"/>
      <c r="M14" s="4"/>
      <c r="N14" t="s">
        <v>26</v>
      </c>
    </row>
    <row r="15" spans="1:14" ht="15" thickBot="1">
      <c r="A15" s="5" t="s">
        <v>27</v>
      </c>
      <c r="B15" s="6">
        <v>9.479166666666667E-3</v>
      </c>
      <c r="C15" s="6">
        <v>9.5601851851851855E-3</v>
      </c>
      <c r="D15" s="16">
        <v>8.1018518518518516E-5</v>
      </c>
      <c r="E15" s="19">
        <v>1.4733796296296297E-2</v>
      </c>
      <c r="F15" s="8">
        <v>1.480324074074074E-2</v>
      </c>
      <c r="G15" s="9">
        <f t="shared" si="0"/>
        <v>6.9444444444443157E-5</v>
      </c>
      <c r="H15" s="7"/>
      <c r="I15" s="7"/>
      <c r="J15" s="7"/>
      <c r="K15" s="7"/>
      <c r="L15" s="7"/>
      <c r="M15" s="7"/>
      <c r="N15" t="s">
        <v>28</v>
      </c>
    </row>
    <row r="16" spans="1:14" ht="15" thickBot="1">
      <c r="A16" s="2" t="s">
        <v>29</v>
      </c>
      <c r="B16" s="3">
        <v>9.6064814814814815E-3</v>
      </c>
      <c r="C16" s="3">
        <v>9.7222222222222224E-3</v>
      </c>
      <c r="D16" s="15">
        <v>1.1574074074074075E-4</v>
      </c>
      <c r="E16" s="20">
        <v>1.4849537037037038E-2</v>
      </c>
      <c r="F16" s="9">
        <v>1.4988425925925926E-2</v>
      </c>
      <c r="G16" s="9">
        <f t="shared" si="0"/>
        <v>1.3888888888888805E-4</v>
      </c>
      <c r="H16" s="4"/>
      <c r="I16" s="4"/>
      <c r="J16" s="4"/>
      <c r="K16" s="4"/>
      <c r="L16" s="4"/>
      <c r="M16" s="4"/>
      <c r="N16" t="s">
        <v>30</v>
      </c>
    </row>
    <row r="17" spans="1:14" ht="15" thickBot="1">
      <c r="A17" s="5" t="s">
        <v>31</v>
      </c>
      <c r="B17" s="6">
        <v>0</v>
      </c>
      <c r="C17" s="6">
        <v>0</v>
      </c>
      <c r="D17" s="16">
        <v>0</v>
      </c>
      <c r="E17" s="22"/>
      <c r="F17" s="7"/>
      <c r="G17" s="9">
        <f t="shared" si="0"/>
        <v>0</v>
      </c>
      <c r="H17" s="7"/>
      <c r="I17" s="7"/>
      <c r="J17" s="7"/>
      <c r="K17" s="7"/>
      <c r="L17" s="7"/>
      <c r="M17" s="7"/>
      <c r="N17" t="s">
        <v>32</v>
      </c>
    </row>
    <row r="18" spans="1:14" ht="15" thickBot="1">
      <c r="A18" s="11" t="s">
        <v>33</v>
      </c>
      <c r="B18" s="29"/>
      <c r="C18" s="30"/>
      <c r="D18" s="21">
        <v>3.8888888888888888E-3</v>
      </c>
      <c r="E18" s="13"/>
      <c r="F18" s="4"/>
      <c r="G18" s="10">
        <f>SUM(G4:G17)</f>
        <v>3.8888888888888827E-3</v>
      </c>
      <c r="H18" s="4"/>
      <c r="I18" s="4"/>
      <c r="J18" s="4"/>
      <c r="K18" s="4"/>
      <c r="L18" s="4"/>
      <c r="M18" s="4"/>
    </row>
  </sheetData>
  <mergeCells count="5">
    <mergeCell ref="B1:M1"/>
    <mergeCell ref="H2:M2"/>
    <mergeCell ref="B18:C18"/>
    <mergeCell ref="B2:D2"/>
    <mergeCell ref="E2:G2"/>
  </mergeCells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F32EA3D6213C54D88F7E52D8FB6A9AF" ma:contentTypeVersion="8" ma:contentTypeDescription="Criar um novo documento." ma:contentTypeScope="" ma:versionID="1518240a24cf7a0a7686144618af134f">
  <xsd:schema xmlns:xsd="http://www.w3.org/2001/XMLSchema" xmlns:xs="http://www.w3.org/2001/XMLSchema" xmlns:p="http://schemas.microsoft.com/office/2006/metadata/properties" xmlns:ns2="5b71271a-1fc9-42ad-8496-2e7a61f3b1ac" targetNamespace="http://schemas.microsoft.com/office/2006/metadata/properties" ma:root="true" ma:fieldsID="0c7c98d8b74c2b652d38a89c85b7fdfa" ns2:_="">
    <xsd:import namespace="5b71271a-1fc9-42ad-8496-2e7a61f3b1a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71271a-1fc9-42ad-8496-2e7a61f3b1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56C8F3D-D0A4-4FE8-B7C7-761794F479CB}"/>
</file>

<file path=customXml/itemProps2.xml><?xml version="1.0" encoding="utf-8"?>
<ds:datastoreItem xmlns:ds="http://schemas.openxmlformats.org/officeDocument/2006/customXml" ds:itemID="{38D0FE01-B941-4FD3-8D56-5208A1221717}"/>
</file>

<file path=customXml/itemProps3.xml><?xml version="1.0" encoding="utf-8"?>
<ds:datastoreItem xmlns:ds="http://schemas.openxmlformats.org/officeDocument/2006/customXml" ds:itemID="{E5F6DAB3-FDF1-43C8-94F7-6873AF4599E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Beatriz P. Costa</dc:creator>
  <cp:keywords/>
  <dc:description/>
  <cp:lastModifiedBy>Hugo André Faria Pereira</cp:lastModifiedBy>
  <cp:revision/>
  <dcterms:created xsi:type="dcterms:W3CDTF">2026-05-27T16:12:01Z</dcterms:created>
  <dcterms:modified xsi:type="dcterms:W3CDTF">2026-05-27T18:01:57Z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0x0101002F32EA3D6213C54D88F7E52D8FB6A9AF</vt:lpwstr>
  </property>
</Properties>
</file>